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Factors" state="visible" r:id="rId5"/>
    <sheet sheetId="3" name="Scope 1" state="visible" r:id="rId6"/>
    <sheet sheetId="4" name="Scope 2" state="visible" r:id="rId7"/>
    <sheet sheetId="5" name="Scope 3" state="visible" r:id="rId8"/>
    <sheet sheetId="6" name="Summary" state="visible" r:id="rId9"/>
  </sheets>
  <definedNames>
    <definedName name="fuel_petrol">Factors!$B$5</definedName>
    <definedName name="fuel_diesel">Factors!$B$6</definedName>
    <definedName name="gas">Factors!$B$7</definedName>
    <definedName name="elec">Factors!$B$8</definedName>
    <definedName name="elec_td">Factors!$B$9</definedName>
    <definedName name="car_mile">Factors!$B$10</definedName>
    <definedName name="rail_mile">Factors!$B$11</definedName>
    <definedName name="waste_mixed">Factors!$B$12</definedName>
    <definedName name="waste_recycle">Factors!$B$13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5" authorId="0">
      <text>
        <r>
          <t>Paste the published value. Leave blank if this fuel or route does not apply to you.</t>
        </r>
      </text>
    </comment>
    <comment ref="B6" authorId="0">
      <text>
        <r>
          <t>Paste the published value. Leave blank if this fuel or route does not apply to you.</t>
        </r>
      </text>
    </comment>
    <comment ref="B7" authorId="0">
      <text>
        <r>
          <t>Paste the published value. Leave blank if this fuel or route does not apply to you.</t>
        </r>
      </text>
    </comment>
    <comment ref="B8" authorId="0">
      <text>
        <r>
          <t>Paste the published value. Leave blank if this fuel or route does not apply to you.</t>
        </r>
      </text>
    </comment>
    <comment ref="B9" authorId="0">
      <text>
        <r>
          <t>Paste the published value. Leave blank if this fuel or route does not apply to you.</t>
        </r>
      </text>
    </comment>
    <comment ref="B10" authorId="0">
      <text>
        <r>
          <t>Paste the published value. Leave blank if this fuel or route does not apply to you.</t>
        </r>
      </text>
    </comment>
    <comment ref="B11" authorId="0">
      <text>
        <r>
          <t>Paste the published value. Leave blank if this fuel or route does not apply to you.</t>
        </r>
      </text>
    </comment>
    <comment ref="B12" authorId="0">
      <text>
        <r>
          <t>Paste the published value. Leave blank if this fuel or route does not apply to you.</t>
        </r>
      </text>
    </comment>
    <comment ref="B13" authorId="0">
      <text>
        <r>
          <t>Paste the published value. Leave blank if this fuel or route does not apply to you.</t>
        </r>
      </text>
    </comment>
    <comment ref="B15" authorId="0">
      <text>
        <r>
          <t>The year of the published set you copied from. This goes in section 3 of the plan so a figure can be reproduced.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5" authorId="0">
      <text>
        <r>
          <t>Litres from fuel receipts or the fuel card statement.</t>
        </r>
      </text>
    </comment>
    <comment ref="C5" authorId="0">
      <text>
        <r>
          <t>Litres from fuel receipts or the fuel card statement.</t>
        </r>
      </text>
    </comment>
    <comment ref="G5" authorId="0">
      <text>
        <r>
          <t>Name the record: a receipt, a bill, a log, a transfer note. Or write why this is nil.</t>
        </r>
      </text>
    </comment>
    <comment ref="B6" authorId="0">
      <text>
        <r>
          <t>Litres from fuel receipts or the fuel card statement.</t>
        </r>
      </text>
    </comment>
    <comment ref="C6" authorId="0">
      <text>
        <r>
          <t>Litres from fuel receipts or the fuel card statement.</t>
        </r>
      </text>
    </comment>
    <comment ref="G6" authorId="0">
      <text>
        <r>
          <t>Name the record: a receipt, a bill, a log, a transfer note. Or write why this is nil.</t>
        </r>
      </text>
    </comment>
    <comment ref="B7" authorId="0">
      <text>
        <r>
          <t>kWh from the gas bill. A home office is only here if the company holds the tenancy.</t>
        </r>
      </text>
    </comment>
    <comment ref="C7" authorId="0">
      <text>
        <r>
          <t>kWh from the gas bill. A home office is only here if the company holds the tenancy.</t>
        </r>
      </text>
    </comment>
    <comment ref="G7" authorId="0">
      <text>
        <r>
          <t>Name the record: a receipt, a bill, a log, a transfer note. Or write why this is nil.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B5" authorId="0">
      <text>
        <r>
          <t>kWh from the electricity bill for premises under the company's control.</t>
        </r>
      </text>
    </comment>
    <comment ref="C5" authorId="0">
      <text>
        <r>
          <t>kWh from the electricity bill for premises under the company's control.</t>
        </r>
      </text>
    </comment>
    <comment ref="G5" authorId="0">
      <text>
        <r>
          <t>Name the record: a receipt, a bill, a log, a transfer note. Or write why this is nil.</t>
        </r>
      </text>
    </comment>
    <comment ref="B6" authorId="0">
      <text>
        <r>
          <t>Enter the SAME kWh figure as the row above. The two factors are added, not chosen between.</t>
        </r>
      </text>
    </comment>
    <comment ref="C6" authorId="0">
      <text>
        <r>
          <t>Enter the SAME kWh figure as the row above. The two factors are added, not chosen between.</t>
        </r>
      </text>
    </comment>
    <comment ref="G6" authorId="0">
      <text>
        <r>
          <t>Name the record: a receipt, a bill, a log, a transfer note. Or write why this is nil.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5" authorId="0">
      <text>
        <r>
          <t>Deliveries of goods you bought in. Estimate by distance and mode if the carrier will not give you data, and say so in the note.</t>
        </r>
      </text>
    </comment>
    <comment ref="C5" authorId="0">
      <text>
        <r>
          <t>Deliveries of goods you bought in. Estimate by distance and mode if the carrier will not give you data, and say so in the note.</t>
        </r>
      </text>
    </comment>
    <comment ref="G5" authorId="0">
      <text>
        <r>
          <t>Name the record: a receipt, a bill, a log, a transfer note. Or write why this is nil.</t>
        </r>
      </text>
    </comment>
    <comment ref="B6" authorId="0">
      <text>
        <r>
          <t>Waste transfer notes. Tonnes, not bags.</t>
        </r>
      </text>
    </comment>
    <comment ref="C6" authorId="0">
      <text>
        <r>
          <t>Waste transfer notes. Tonnes, not bags.</t>
        </r>
      </text>
    </comment>
    <comment ref="G6" authorId="0">
      <text>
        <r>
          <t>Name the record: a receipt, a bill, a log, a transfer note. Or write why this is nil.</t>
        </r>
      </text>
    </comment>
    <comment ref="B7" authorId="0">
      <text>
        <r>
          <t>Waste transfer notes and WEEE records.</t>
        </r>
      </text>
    </comment>
    <comment ref="C7" authorId="0">
      <text>
        <r>
          <t>Waste transfer notes and WEEE records.</t>
        </r>
      </text>
    </comment>
    <comment ref="G7" authorId="0">
      <text>
        <r>
          <t>Name the record: a receipt, a bill, a log, a transfer note. Or write why this is nil.</t>
        </r>
      </text>
    </comment>
    <comment ref="B8" authorId="0">
      <text>
        <r>
          <t>Mileage log. Includes a personal car reimbursed by mileage. Expected to be your largest line.</t>
        </r>
      </text>
    </comment>
    <comment ref="C8" authorId="0">
      <text>
        <r>
          <t>Mileage log. Includes a personal car reimbursed by mileage. Expected to be your largest line.</t>
        </r>
      </text>
    </comment>
    <comment ref="G8" authorId="0">
      <text>
        <r>
          <t>Name the record: a receipt, a bill, a log, a transfer note. Or write why this is nil.</t>
        </r>
      </text>
    </comment>
    <comment ref="B9" authorId="0">
      <text>
        <r>
          <t>Rail tickets.</t>
        </r>
      </text>
    </comment>
    <comment ref="C9" authorId="0">
      <text>
        <r>
          <t>Rail tickets.</t>
        </r>
      </text>
    </comment>
    <comment ref="G9" authorId="0">
      <text>
        <r>
          <t>Name the record: a receipt, a bill, a log, a transfer note. Or write why this is nil.</t>
        </r>
      </text>
    </comment>
    <comment ref="B10" authorId="0">
      <text>
        <r>
          <t>Days travelled x distance x mode. If you work from home, enter 0 and state the homeworking treatment in the note.</t>
        </r>
      </text>
    </comment>
    <comment ref="C10" authorId="0">
      <text>
        <r>
          <t>Days travelled x distance x mode. If you work from home, enter 0 and state the homeworking treatment in the note.</t>
        </r>
      </text>
    </comment>
    <comment ref="G10" authorId="0">
      <text>
        <r>
          <t>Name the record: a receipt, a bill, a log, a transfer note. Or write why this is nil.</t>
        </r>
      </text>
    </comment>
    <comment ref="B11" authorId="0">
      <text>
        <r>
          <t>Distribution of goods you SELL. Services only means 0 — enter 0 and say why.</t>
        </r>
      </text>
    </comment>
    <comment ref="C11" authorId="0">
      <text>
        <r>
          <t>Distribution of goods you SELL. Services only means 0 — enter 0 and say why.</t>
        </r>
      </text>
    </comment>
    <comment ref="G11" authorId="0">
      <text>
        <r>
          <t>Name the record: a receipt, a bill, a log, a transfer note. Or write why this is nil.</t>
        </r>
      </text>
    </comment>
  </commentList>
</comments>
</file>

<file path=xl/sharedStrings.xml><?xml version="1.0" encoding="utf-8"?>
<sst xmlns="http://schemas.openxmlformats.org/spreadsheetml/2006/main" count="119" uniqueCount="98">
  <si>
    <t>Carbon Reduction Plan — emissions workbook</t>
  </si>
  <si>
    <t>Fill the amber cells only. Everything grey is calculated. Nothing here is pre-filled with a number I could not verify.</t>
  </si>
  <si>
    <t>WHAT THIS PRODUCES</t>
  </si>
  <si>
    <t>Six numbers: Scope 1, Scope 2 and Scope 3 for the baseline year, and the same three for the reporting year. Those six go straight into question 141 of the DPS questionnaire and into sections 4 and 5 of the Carbon Reduction Plan.</t>
  </si>
  <si>
    <t>BEFORE YOU START — one download</t>
  </si>
  <si>
    <t>Search for: UK Government greenhouse gas reporting conversion factors. Download the 'condensed set' spreadsheet for the year you are reporting. You will copy six or seven numbers out of it.</t>
  </si>
  <si>
    <t>No conversion factor is pre-filled in this workbook. They change every year, and a factor typed from memory into a cell that ends up under your signature is invented data that looks like real data. The 'Factors' sheet names the exact row to copy for each one.</t>
  </si>
  <si>
    <t>THE ORDER</t>
  </si>
  <si>
    <t>1.  Factors — paste the published values. Do this first; nothing totals until it is done.</t>
  </si>
  <si>
    <t>2.  Scope 1 — fuel you burned in a vehicle or premises you control. If your car is personal and you claim mileage, it is NOT here: it is Scope 3 category 6.</t>
  </si>
  <si>
    <t>3.  Scope 2 — electricity you bought. Bills, kWh.</t>
  </si>
  <si>
    <t>4.  Scope 3 — the five categories PPN 06/21 requires, and only those five.</t>
  </si>
  <si>
    <t>5.  Summary — reads the six numbers off. Check the three tests are green before you use them.</t>
  </si>
  <si>
    <t>IF A NUMBER IS GENUINELY ZERO</t>
  </si>
  <si>
    <t>Type 0. Do not leave it blank. A blank tells an assessor you did not look; a zero with a note tells them you looked and found nothing, which is the stronger answer. Every row has a note column for exactly this.</t>
  </si>
  <si>
    <t>IF YOU HAVE TO ESTIMATE</t>
  </si>
  <si>
    <t>Estimate, and write the method in the note column. PPN 06/21 accepts a declared estimate. It does not accept a figure with no basis, and neither does the declaration you sign at section 8 of the plan.</t>
  </si>
  <si>
    <t>THE BASELINE AND THE REPORTING YEAR</t>
  </si>
  <si>
    <t>In your first year they are the same period and both columns carry the same figures. That is correct and expected for a new organisation — say so in the plan rather than leaving the second table empty.</t>
  </si>
  <si>
    <t>Conversion factors — paste from the published Government set</t>
  </si>
  <si>
    <t>Amber cells only. Each row names the exact line to copy. Do not type a remembered value.</t>
  </si>
  <si>
    <t>Factor</t>
  </si>
  <si>
    <t>Value</t>
  </si>
  <si>
    <t>Unit</t>
  </si>
  <si>
    <t>The row to copy from the Government condensed set</t>
  </si>
  <si>
    <t>Petrol (average biofuel blend)</t>
  </si>
  <si>
    <t>kg CO2e / litre</t>
  </si>
  <si>
    <t>Fuels → Petrol (average biofuel blend) → kg CO2e per litre</t>
  </si>
  <si>
    <t>Diesel (average biofuel blend)</t>
  </si>
  <si>
    <t>Fuels → Diesel (average biofuel blend) → kg CO2e per litre</t>
  </si>
  <si>
    <t>Natural gas</t>
  </si>
  <si>
    <t>kg CO2e / kWh</t>
  </si>
  <si>
    <t>Fuels → Gaseous fuels → Natural gas → kg CO2e per kWh</t>
  </si>
  <si>
    <t>UK electricity — generation</t>
  </si>
  <si>
    <t>UK electricity → Electricity generated → kg CO2e per kWh. Location-based.</t>
  </si>
  <si>
    <t>UK electricity — T&amp;D losses</t>
  </si>
  <si>
    <t>UK electricity T&amp;D → kg CO2e per kWh. Add to the line above for the location-based total.</t>
  </si>
  <si>
    <t>Average car, unknown fuel</t>
  </si>
  <si>
    <t>kg CO2e / mile</t>
  </si>
  <si>
    <t>Business travel – land → Cars (by size) → Average car → Unknown fuel → kg CO2e per mile</t>
  </si>
  <si>
    <t>National rail</t>
  </si>
  <si>
    <t>Business travel – land → Rail → National rail → kg CO2e per passenger mile</t>
  </si>
  <si>
    <t>Commercial and industrial waste to landfill</t>
  </si>
  <si>
    <t>kg CO2e / tonne</t>
  </si>
  <si>
    <t>Waste disposal → Commercial and industrial waste → Landfill → kg CO2e per tonne</t>
  </si>
  <si>
    <t>Mixed recycling</t>
  </si>
  <si>
    <t>Waste disposal → Mixed recycling → Closed-loop → kg CO2e per tonne</t>
  </si>
  <si>
    <t>Factor set year</t>
  </si>
  <si>
    <t>State this in the plan. A figure that cannot be reproduced is not evidence.</t>
  </si>
  <si>
    <t>Scope 1 — fuel burned in assets you own or control</t>
  </si>
  <si>
    <t>If the vehicle is personal and reimbursed by mileage, it is NOT Scope 1. It belongs in Scope 3 category 6.</t>
  </si>
  <si>
    <t>Activity</t>
  </si>
  <si>
    <t xml:space="preserve">Baseline
activity</t>
  </si>
  <si>
    <t xml:space="preserve">Reporting
activity</t>
  </si>
  <si>
    <t xml:space="preserve">Factor
(from Factors)</t>
  </si>
  <si>
    <t xml:space="preserve">Baseline
tCO2e</t>
  </si>
  <si>
    <t xml:space="preserve">Reporting
tCO2e</t>
  </si>
  <si>
    <t>Note — source of the figure, or why it is nil</t>
  </si>
  <si>
    <t>Petrol — company or leased vehicle (litres)</t>
  </si>
  <si>
    <t>Diesel — company or leased vehicle (litres)</t>
  </si>
  <si>
    <t>Natural gas — premises under your control (kWh)</t>
  </si>
  <si>
    <t>TOTAL Scope 1</t>
  </si>
  <si>
    <t>Check — every row with activity has a factor</t>
  </si>
  <si>
    <t>Scope 2 — purchased electricity</t>
  </si>
  <si>
    <t>Location-based: generation factor plus transmission and distribution losses. State the method in the plan and keep it the same every year.</t>
  </si>
  <si>
    <t>Electricity — generation (kWh)</t>
  </si>
  <si>
    <t>Electricity — T&amp;D losses (same kWh)</t>
  </si>
  <si>
    <t>TOTAL Scope 2</t>
  </si>
  <si>
    <t>Scope 3 — the five categories PPN 06/21 requires</t>
  </si>
  <si>
    <t>Categories 4, 5, 6, 7 and 9 of the GHG Protocol. Not a summarised Scope 3 number, and not all fifteen.</t>
  </si>
  <si>
    <t>Cat 4 — Upstream transport: supplier deliveries (miles)</t>
  </si>
  <si>
    <t>Cat 5 — Waste to landfill (tonnes)</t>
  </si>
  <si>
    <t>Cat 5 — Waste recycled (tonnes)</t>
  </si>
  <si>
    <t>Cat 6 — Business travel: car (miles)</t>
  </si>
  <si>
    <t>Cat 6 — Business travel: rail (miles)</t>
  </si>
  <si>
    <t>Cat 7 — Employee commuting (miles)</t>
  </si>
  <si>
    <t>Cat 9 — Downstream transport (miles)</t>
  </si>
  <si>
    <t>TOTAL Scope 3</t>
  </si>
  <si>
    <t>Check — all five required categories addressed</t>
  </si>
  <si>
    <t>The six numbers</t>
  </si>
  <si>
    <t>These go into question 141 of the questionnaire and sections 4 and 5 of the Carbon Reduction Plan. Check the tests below are green first.</t>
  </si>
  <si>
    <t/>
  </si>
  <si>
    <t>Baseline year (tCO2e)</t>
  </si>
  <si>
    <t>Reporting year (tCO2e)</t>
  </si>
  <si>
    <t>Where it goes</t>
  </si>
  <si>
    <t>Scope 1</t>
  </si>
  <si>
    <t>Q141 Baseline Scope 1 / Reporting Scope 1</t>
  </si>
  <si>
    <t>Scope 2</t>
  </si>
  <si>
    <t>Q141 Baseline Scope 2 / Reporting Scope 2</t>
  </si>
  <si>
    <t>Scope 3 (the five required categories)</t>
  </si>
  <si>
    <t>Q141 Baseline Scope 3 / Reporting Scope 3</t>
  </si>
  <si>
    <t>TOTAL EMISSIONS</t>
  </si>
  <si>
    <t>Change against baseline</t>
  </si>
  <si>
    <t>Zero in year one, when the baseline and the reporting year are the same period.</t>
  </si>
  <si>
    <t>Test 1 — the factor sheet has been filled</t>
  </si>
  <si>
    <t>Test 2 — the summary matches the rows, not just the totals</t>
  </si>
  <si>
    <t>Test 3 — Scope 3 covers all five required categories</t>
  </si>
  <si>
    <t>Do not sign section 8 of the Carbon Reduction Plan until all three tests read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</si>
</sst>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0.0%"/>
  </numFmts>
  <fonts count="12" x14ac:knownFonts="1">
    <font>
      <color theme="1"/>
      <family val="2"/>
      <scheme val="minor"/>
      <sz val="11"/>
      <name val="Calibri"/>
    </font>
    <font>
      <b/>
      <color rgb="FF14181D"/>
      <sz val="14"/>
      <name val="Arial"/>
    </font>
    <font>
      <i/>
      <color rgb="FF5B6672"/>
      <sz val="9"/>
      <name val="Arial"/>
    </font>
    <font>
      <b/>
      <color rgb="FF14181D"/>
      <sz val="10"/>
      <name val="Arial"/>
    </font>
    <font>
      <color rgb="FF5B6672"/>
      <sz val="10"/>
      <name val="Arial"/>
    </font>
    <font>
      <b/>
      <color rgb="FFFFFFFF"/>
      <sz val="9"/>
      <name val="Arial"/>
    </font>
    <font>
      <sz val="10"/>
      <name val="Arial"/>
    </font>
    <font>
      <color rgb="FF5B6672"/>
      <sz val="9"/>
      <name val="Arial"/>
    </font>
    <font>
      <b/>
      <sz val="10"/>
      <name val="Arial"/>
    </font>
    <font>
      <b/>
      <sz val="11"/>
      <name val="Arial"/>
    </font>
    <font>
      <b/>
      <color rgb="FF14181D"/>
      <sz val="11"/>
      <name val="Arial"/>
    </font>
    <font>
      <b/>
      <i/>
      <color rgb="FF9B1C1C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4181D"/>
      </patternFill>
    </fill>
    <fill>
      <patternFill patternType="solid">
        <fgColor rgb="FFFDF3DC"/>
      </patternFill>
    </fill>
    <fill>
      <patternFill patternType="solid">
        <fgColor rgb="FFF4F4F2"/>
      </patternFill>
    </fill>
    <fill>
      <patternFill patternType="solid">
        <fgColor rgb="FFEFE6D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6" fillId="0" borderId="0" xfId="0" applyFont="1"/>
    <xf numFmtId="164" fontId="0" fillId="3" borderId="1" xfId="0" applyNumberFormat="1" applyFill="1" applyBorder="1"/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1" fontId="0" fillId="3" borderId="1" xfId="0" applyNumberFormat="1" applyFill="1" applyBorder="1"/>
    <xf numFmtId="0" fontId="6" fillId="0" borderId="0" xfId="0" applyFont="1" applyAlignment="1">
      <alignment wrapText="1"/>
    </xf>
    <xf numFmtId="4" fontId="0" fillId="3" borderId="1" xfId="0" applyNumberFormat="1" applyFill="1" applyBorder="1"/>
    <xf numFmtId="164" fontId="6" fillId="4" borderId="0" xfId="0" applyNumberFormat="1" applyFont="1" applyFill="1"/>
    <xf numFmtId="165" fontId="6" fillId="4" borderId="0" xfId="0" applyNumberFormat="1" applyFont="1" applyFill="1"/>
    <xf numFmtId="49" fontId="0" fillId="3" borderId="1" xfId="0" applyNumberFormat="1" applyFill="1" applyBorder="1"/>
    <xf numFmtId="0" fontId="3" fillId="0" borderId="0" xfId="0" applyFont="1"/>
    <xf numFmtId="165" fontId="8" fillId="5" borderId="2" xfId="0" applyNumberFormat="1" applyFont="1" applyFill="1" applyBorder="1"/>
    <xf numFmtId="0" fontId="9" fillId="0" borderId="0" xfId="0" applyFont="1"/>
    <xf numFmtId="0" fontId="10" fillId="0" borderId="0" xfId="0" applyFont="1"/>
    <xf numFmtId="165" fontId="9" fillId="5" borderId="2" xfId="0" applyNumberFormat="1" applyFont="1" applyFill="1" applyBorder="1"/>
    <xf numFmtId="166" fontId="6" fillId="4" borderId="0" xfId="0" applyNumberFormat="1" applyFon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7A3C"/>
  </sheetPr>
  <dimension ref="B1:G25"/>
  <sheetFormatPr defaultRowHeight="15" outlineLevelRow="0" outlineLevelCol="0" x14ac:dyDescent="55"/>
  <cols>
    <col min="1" max="1" width="4" customWidth="1"/>
    <col min="2" max="2" width="104" customWidth="1"/>
  </cols>
  <sheetData>
    <row r="1" ht="2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ht="6" customHeight="1" x14ac:dyDescent="0.25"/>
    <row r="4" ht="15" customHeight="1" spans="2:2" x14ac:dyDescent="0.25">
      <c r="B4" s="3" t="s">
        <v>2</v>
      </c>
    </row>
    <row r="5" ht="42" customHeight="1" spans="2:2" x14ac:dyDescent="0.25">
      <c r="B5" s="4" t="s">
        <v>3</v>
      </c>
    </row>
    <row r="7" ht="15" customHeight="1" spans="2:2" x14ac:dyDescent="0.25">
      <c r="B7" s="3" t="s">
        <v>4</v>
      </c>
    </row>
    <row r="8" ht="28" customHeight="1" spans="2:2" x14ac:dyDescent="0.25">
      <c r="B8" s="4" t="s">
        <v>5</v>
      </c>
    </row>
    <row r="9" ht="42" customHeight="1" spans="2:2" x14ac:dyDescent="0.25">
      <c r="B9" s="4" t="s">
        <v>6</v>
      </c>
    </row>
    <row r="11" ht="15" customHeight="1" spans="2:2" x14ac:dyDescent="0.25">
      <c r="B11" s="3" t="s">
        <v>7</v>
      </c>
    </row>
    <row r="12" ht="15" customHeight="1" spans="2:2" x14ac:dyDescent="0.25">
      <c r="B12" s="4" t="s">
        <v>8</v>
      </c>
    </row>
    <row r="13" ht="28" customHeight="1" spans="2:2" x14ac:dyDescent="0.25">
      <c r="B13" s="4" t="s">
        <v>9</v>
      </c>
    </row>
    <row r="14" ht="15" customHeight="1" spans="2:2" x14ac:dyDescent="0.25">
      <c r="B14" s="4" t="s">
        <v>10</v>
      </c>
    </row>
    <row r="15" ht="15" customHeight="1" spans="2:2" x14ac:dyDescent="0.25">
      <c r="B15" s="4" t="s">
        <v>11</v>
      </c>
    </row>
    <row r="16" ht="15" customHeight="1" spans="2:2" x14ac:dyDescent="0.25">
      <c r="B16" s="4" t="s">
        <v>12</v>
      </c>
    </row>
    <row r="18" ht="15" customHeight="1" spans="2:2" x14ac:dyDescent="0.25">
      <c r="B18" s="3" t="s">
        <v>13</v>
      </c>
    </row>
    <row r="19" ht="42" customHeight="1" spans="2:2" x14ac:dyDescent="0.25">
      <c r="B19" s="4" t="s">
        <v>14</v>
      </c>
    </row>
    <row r="21" ht="15" customHeight="1" spans="2:2" x14ac:dyDescent="0.25">
      <c r="B21" s="3" t="s">
        <v>15</v>
      </c>
    </row>
    <row r="22" ht="42" customHeight="1" spans="2:2" x14ac:dyDescent="0.25">
      <c r="B22" s="4" t="s">
        <v>16</v>
      </c>
    </row>
    <row r="24" ht="15" customHeight="1" spans="2:2" x14ac:dyDescent="0.25">
      <c r="B24" s="3" t="s">
        <v>17</v>
      </c>
    </row>
    <row r="25" ht="42" customHeight="1" spans="2:2" x14ac:dyDescent="0.25">
      <c r="B25" s="4" t="s">
        <v>18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7A3C"/>
  </sheetPr>
  <dimension ref="A1:G15"/>
  <sheetFormatPr defaultRowHeight="15" outlineLevelRow="0" outlineLevelCol="0" x14ac:dyDescent="55"/>
  <cols>
    <col min="1" max="1" width="34" customWidth="1"/>
    <col min="2" max="2" width="16" customWidth="1"/>
    <col min="3" max="3" width="14" customWidth="1"/>
    <col min="4" max="4" width="58" customWidth="1"/>
  </cols>
  <sheetData>
    <row r="1" ht="2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spans="1:7" x14ac:dyDescent="0.25">
      <c r="A2" s="2" t="s">
        <v>20</v>
      </c>
      <c r="B2" s="2"/>
      <c r="C2" s="2"/>
      <c r="D2" s="2"/>
      <c r="E2" s="2"/>
      <c r="F2" s="2"/>
      <c r="G2" s="2"/>
    </row>
    <row r="3" ht="6" customHeight="1" x14ac:dyDescent="0.25"/>
    <row r="4" ht="30" customHeight="1" spans="1:4" x14ac:dyDescent="0.25">
      <c r="A4" s="5" t="s">
        <v>21</v>
      </c>
      <c r="B4" s="5" t="s">
        <v>22</v>
      </c>
      <c r="C4" s="5" t="s">
        <v>23</v>
      </c>
      <c r="D4" s="5" t="s">
        <v>24</v>
      </c>
    </row>
    <row r="5" spans="1:4" x14ac:dyDescent="0.25">
      <c r="A5" s="6" t="s">
        <v>25</v>
      </c>
      <c r="B5" s="7"/>
      <c r="C5" s="8" t="s">
        <v>26</v>
      </c>
      <c r="D5" s="9" t="s">
        <v>27</v>
      </c>
    </row>
    <row r="6" spans="1:4" x14ac:dyDescent="0.25">
      <c r="A6" s="6" t="s">
        <v>28</v>
      </c>
      <c r="B6" s="7"/>
      <c r="C6" s="8" t="s">
        <v>26</v>
      </c>
      <c r="D6" s="9" t="s">
        <v>29</v>
      </c>
    </row>
    <row r="7" spans="1:4" x14ac:dyDescent="0.25">
      <c r="A7" s="6" t="s">
        <v>30</v>
      </c>
      <c r="B7" s="7"/>
      <c r="C7" s="8" t="s">
        <v>31</v>
      </c>
      <c r="D7" s="9" t="s">
        <v>32</v>
      </c>
    </row>
    <row r="8" spans="1:4" x14ac:dyDescent="0.25">
      <c r="A8" s="6" t="s">
        <v>33</v>
      </c>
      <c r="B8" s="7"/>
      <c r="C8" s="8" t="s">
        <v>31</v>
      </c>
      <c r="D8" s="9" t="s">
        <v>34</v>
      </c>
    </row>
    <row r="9" spans="1:4" x14ac:dyDescent="0.25">
      <c r="A9" s="6" t="s">
        <v>35</v>
      </c>
      <c r="B9" s="7"/>
      <c r="C9" s="8" t="s">
        <v>31</v>
      </c>
      <c r="D9" s="9" t="s">
        <v>36</v>
      </c>
    </row>
    <row r="10" spans="1:4" x14ac:dyDescent="0.25">
      <c r="A10" s="6" t="s">
        <v>37</v>
      </c>
      <c r="B10" s="7"/>
      <c r="C10" s="8" t="s">
        <v>38</v>
      </c>
      <c r="D10" s="9" t="s">
        <v>39</v>
      </c>
    </row>
    <row r="11" spans="1:4" x14ac:dyDescent="0.25">
      <c r="A11" s="6" t="s">
        <v>40</v>
      </c>
      <c r="B11" s="7"/>
      <c r="C11" s="8" t="s">
        <v>38</v>
      </c>
      <c r="D11" s="9" t="s">
        <v>41</v>
      </c>
    </row>
    <row r="12" spans="1:4" x14ac:dyDescent="0.25">
      <c r="A12" s="6" t="s">
        <v>42</v>
      </c>
      <c r="B12" s="7"/>
      <c r="C12" s="8" t="s">
        <v>43</v>
      </c>
      <c r="D12" s="9" t="s">
        <v>44</v>
      </c>
    </row>
    <row r="13" spans="1:4" x14ac:dyDescent="0.25">
      <c r="A13" s="6" t="s">
        <v>45</v>
      </c>
      <c r="B13" s="7"/>
      <c r="C13" s="8" t="s">
        <v>43</v>
      </c>
      <c r="D13" s="9" t="s">
        <v>46</v>
      </c>
    </row>
    <row r="15" spans="1:4" x14ac:dyDescent="0.25">
      <c r="A15" s="10" t="s">
        <v>47</v>
      </c>
      <c r="B15" s="11"/>
      <c r="D15" s="2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36" customWidth="1"/>
    <col min="2" max="6" width="13" customWidth="1"/>
    <col min="7" max="7" width="44" customWidth="1"/>
  </cols>
  <sheetData>
    <row r="1" ht="22" customHeight="1" spans="1:7" x14ac:dyDescent="0.25">
      <c r="A1" s="1" t="s">
        <v>49</v>
      </c>
      <c r="B1" s="1"/>
      <c r="C1" s="1"/>
      <c r="D1" s="1"/>
      <c r="E1" s="1"/>
      <c r="F1" s="1"/>
      <c r="G1" s="1"/>
    </row>
    <row r="2" spans="1:7" x14ac:dyDescent="0.25">
      <c r="A2" s="2" t="s">
        <v>50</v>
      </c>
      <c r="B2" s="2"/>
      <c r="C2" s="2"/>
      <c r="D2" s="2"/>
      <c r="E2" s="2"/>
      <c r="F2" s="2"/>
      <c r="G2" s="2"/>
    </row>
    <row r="3" ht="6" customHeight="1" x14ac:dyDescent="0.25"/>
    <row r="4" ht="30" customHeight="1" spans="1:7" x14ac:dyDescent="0.25">
      <c r="A4" s="5" t="s">
        <v>51</v>
      </c>
      <c r="B4" s="5" t="s">
        <v>52</v>
      </c>
      <c r="C4" s="5" t="s">
        <v>53</v>
      </c>
      <c r="D4" s="5" t="s">
        <v>54</v>
      </c>
      <c r="E4" s="5" t="s">
        <v>55</v>
      </c>
      <c r="F4" s="5" t="s">
        <v>56</v>
      </c>
      <c r="G4" s="5" t="s">
        <v>57</v>
      </c>
    </row>
    <row r="5" ht="26" customHeight="1" spans="1:7" x14ac:dyDescent="0.25">
      <c r="A5" s="12" t="s">
        <v>58</v>
      </c>
      <c r="B5" s="13"/>
      <c r="C5" s="13"/>
      <c r="D5" s="14">
        <f>fuel_petrol</f>
      </c>
      <c r="E5" s="15">
        <f>IF(OR(B5="",D5=""),"",B5*D5/1000)</f>
      </c>
      <c r="F5" s="15">
        <f>IF(OR(C5="",D5=""),"",C5*D5/1000)</f>
      </c>
      <c r="G5" s="16"/>
    </row>
    <row r="6" ht="26" customHeight="1" spans="1:7" x14ac:dyDescent="0.25">
      <c r="A6" s="12" t="s">
        <v>59</v>
      </c>
      <c r="B6" s="13"/>
      <c r="C6" s="13"/>
      <c r="D6" s="14">
        <f>fuel_diesel</f>
      </c>
      <c r="E6" s="15">
        <f>IF(OR(B6="",D6=""),"",B6*D6/1000)</f>
      </c>
      <c r="F6" s="15">
        <f>IF(OR(C6="",D6=""),"",C6*D6/1000)</f>
      </c>
      <c r="G6" s="16"/>
    </row>
    <row r="7" ht="26" customHeight="1" spans="1:7" x14ac:dyDescent="0.25">
      <c r="A7" s="12" t="s">
        <v>60</v>
      </c>
      <c r="B7" s="13"/>
      <c r="C7" s="13"/>
      <c r="D7" s="14">
        <f>gas</f>
      </c>
      <c r="E7" s="15">
        <f>IF(OR(B7="",D7=""),"",B7*D7/1000)</f>
      </c>
      <c r="F7" s="15">
        <f>IF(OR(C7="",D7=""),"",C7*D7/1000)</f>
      </c>
      <c r="G7" s="16"/>
    </row>
    <row r="8" spans="1:6" x14ac:dyDescent="0.25">
      <c r="A8" s="17" t="s">
        <v>61</v>
      </c>
      <c r="E8" s="18">
        <f>SUM(E5:E7)</f>
      </c>
      <c r="F8" s="18">
        <f>SUM(F5:F7)</f>
      </c>
    </row>
    <row r="10" ht="20" customHeight="1" spans="1:7" x14ac:dyDescent="0.25">
      <c r="A10" s="10" t="s">
        <v>62</v>
      </c>
      <c r="B10" s="10">
        <f>IF(SUMPRODUCT(--(((B5:B7&lt;&gt;"")+(C5:C7&lt;&gt;""))&gt;0),--(D5:D7=""))=0,"OK — nothing is being counted without a published factor","INCOMPLETE — a row has activity but no conversion factor. Fill the Factors sheet.")</f>
      </c>
      <c r="C10" s="10"/>
      <c r="D10" s="10"/>
      <c r="E10" s="10"/>
      <c r="F10" s="10"/>
      <c r="G10" s="10"/>
    </row>
  </sheetData>
  <mergeCells count="3">
    <mergeCell ref="A1:G1"/>
    <mergeCell ref="A2:G2"/>
    <mergeCell ref="B10:G10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36" customWidth="1"/>
    <col min="2" max="6" width="13" customWidth="1"/>
    <col min="7" max="7" width="44" customWidth="1"/>
  </cols>
  <sheetData>
    <row r="1" ht="22" customHeight="1" spans="1:7" x14ac:dyDescent="0.25">
      <c r="A1" s="1" t="s">
        <v>63</v>
      </c>
      <c r="B1" s="1"/>
      <c r="C1" s="1"/>
      <c r="D1" s="1"/>
      <c r="E1" s="1"/>
      <c r="F1" s="1"/>
      <c r="G1" s="1"/>
    </row>
    <row r="2" spans="1:7" x14ac:dyDescent="0.25">
      <c r="A2" s="2" t="s">
        <v>64</v>
      </c>
      <c r="B2" s="2"/>
      <c r="C2" s="2"/>
      <c r="D2" s="2"/>
      <c r="E2" s="2"/>
      <c r="F2" s="2"/>
      <c r="G2" s="2"/>
    </row>
    <row r="3" ht="6" customHeight="1" x14ac:dyDescent="0.25"/>
    <row r="4" ht="30" customHeight="1" spans="1:7" x14ac:dyDescent="0.25">
      <c r="A4" s="5" t="s">
        <v>51</v>
      </c>
      <c r="B4" s="5" t="s">
        <v>52</v>
      </c>
      <c r="C4" s="5" t="s">
        <v>53</v>
      </c>
      <c r="D4" s="5" t="s">
        <v>54</v>
      </c>
      <c r="E4" s="5" t="s">
        <v>55</v>
      </c>
      <c r="F4" s="5" t="s">
        <v>56</v>
      </c>
      <c r="G4" s="5" t="s">
        <v>57</v>
      </c>
    </row>
    <row r="5" ht="26" customHeight="1" spans="1:7" x14ac:dyDescent="0.25">
      <c r="A5" s="12" t="s">
        <v>65</v>
      </c>
      <c r="B5" s="13"/>
      <c r="C5" s="13"/>
      <c r="D5" s="14">
        <f>elec</f>
      </c>
      <c r="E5" s="15">
        <f>IF(OR(B5="",D5=""),"",B5*D5/1000)</f>
      </c>
      <c r="F5" s="15">
        <f>IF(OR(C5="",D5=""),"",C5*D5/1000)</f>
      </c>
      <c r="G5" s="16"/>
    </row>
    <row r="6" ht="26" customHeight="1" spans="1:7" x14ac:dyDescent="0.25">
      <c r="A6" s="12" t="s">
        <v>66</v>
      </c>
      <c r="B6" s="13"/>
      <c r="C6" s="13"/>
      <c r="D6" s="14">
        <f>elec_td</f>
      </c>
      <c r="E6" s="15">
        <f>IF(OR(B6="",D6=""),"",B6*D6/1000)</f>
      </c>
      <c r="F6" s="15">
        <f>IF(OR(C6="",D6=""),"",C6*D6/1000)</f>
      </c>
      <c r="G6" s="16"/>
    </row>
    <row r="7" spans="1:6" x14ac:dyDescent="0.25">
      <c r="A7" s="17" t="s">
        <v>67</v>
      </c>
      <c r="E7" s="18">
        <f>SUM(E5:E6)</f>
      </c>
      <c r="F7" s="18">
        <f>SUM(F5:F6)</f>
      </c>
    </row>
    <row r="9" ht="20" customHeight="1" spans="1:7" x14ac:dyDescent="0.25">
      <c r="A9" s="10" t="s">
        <v>62</v>
      </c>
      <c r="B9" s="10">
        <f>IF(SUMPRODUCT(--(((B5:B6&lt;&gt;"")+(C5:C6&lt;&gt;""))&gt;0),--(D5:D6=""))=0,"OK — nothing is being counted without a published factor","INCOMPLETE — a row has activity but no conversion factor. Fill the Factors sheet.")</f>
      </c>
      <c r="C9" s="10"/>
      <c r="D9" s="10"/>
      <c r="E9" s="10"/>
      <c r="F9" s="10"/>
      <c r="G9" s="10"/>
    </row>
  </sheetData>
  <mergeCells count="3">
    <mergeCell ref="A1:G1"/>
    <mergeCell ref="A2:G2"/>
    <mergeCell ref="B9:G9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36" customWidth="1"/>
    <col min="2" max="6" width="13" customWidth="1"/>
    <col min="7" max="7" width="44" customWidth="1"/>
  </cols>
  <sheetData>
    <row r="1" ht="22" customHeight="1" spans="1:7" x14ac:dyDescent="0.25">
      <c r="A1" s="1" t="s">
        <v>68</v>
      </c>
      <c r="B1" s="1"/>
      <c r="C1" s="1"/>
      <c r="D1" s="1"/>
      <c r="E1" s="1"/>
      <c r="F1" s="1"/>
      <c r="G1" s="1"/>
    </row>
    <row r="2" spans="1:7" x14ac:dyDescent="0.25">
      <c r="A2" s="2" t="s">
        <v>69</v>
      </c>
      <c r="B2" s="2"/>
      <c r="C2" s="2"/>
      <c r="D2" s="2"/>
      <c r="E2" s="2"/>
      <c r="F2" s="2"/>
      <c r="G2" s="2"/>
    </row>
    <row r="3" ht="6" customHeight="1" x14ac:dyDescent="0.25"/>
    <row r="4" ht="30" customHeight="1" spans="1:7" x14ac:dyDescent="0.25">
      <c r="A4" s="5" t="s">
        <v>51</v>
      </c>
      <c r="B4" s="5" t="s">
        <v>52</v>
      </c>
      <c r="C4" s="5" t="s">
        <v>53</v>
      </c>
      <c r="D4" s="5" t="s">
        <v>54</v>
      </c>
      <c r="E4" s="5" t="s">
        <v>55</v>
      </c>
      <c r="F4" s="5" t="s">
        <v>56</v>
      </c>
      <c r="G4" s="5" t="s">
        <v>57</v>
      </c>
    </row>
    <row r="5" ht="26" customHeight="1" spans="1:7" x14ac:dyDescent="0.25">
      <c r="A5" s="12" t="s">
        <v>70</v>
      </c>
      <c r="B5" s="13"/>
      <c r="C5" s="13"/>
      <c r="D5" s="14">
        <f>car_mile</f>
      </c>
      <c r="E5" s="15">
        <f>IF(OR(B5="",D5=""),"",B5*D5/1000)</f>
      </c>
      <c r="F5" s="15">
        <f>IF(OR(C5="",D5=""),"",C5*D5/1000)</f>
      </c>
      <c r="G5" s="16"/>
    </row>
    <row r="6" ht="26" customHeight="1" spans="1:7" x14ac:dyDescent="0.25">
      <c r="A6" s="12" t="s">
        <v>71</v>
      </c>
      <c r="B6" s="13"/>
      <c r="C6" s="13"/>
      <c r="D6" s="14">
        <f>waste_mixed</f>
      </c>
      <c r="E6" s="15">
        <f>IF(OR(B6="",D6=""),"",B6*D6/1000)</f>
      </c>
      <c r="F6" s="15">
        <f>IF(OR(C6="",D6=""),"",C6*D6/1000)</f>
      </c>
      <c r="G6" s="16"/>
    </row>
    <row r="7" ht="26" customHeight="1" spans="1:7" x14ac:dyDescent="0.25">
      <c r="A7" s="12" t="s">
        <v>72</v>
      </c>
      <c r="B7" s="13"/>
      <c r="C7" s="13"/>
      <c r="D7" s="14">
        <f>waste_recycle</f>
      </c>
      <c r="E7" s="15">
        <f>IF(OR(B7="",D7=""),"",B7*D7/1000)</f>
      </c>
      <c r="F7" s="15">
        <f>IF(OR(C7="",D7=""),"",C7*D7/1000)</f>
      </c>
      <c r="G7" s="16"/>
    </row>
    <row r="8" ht="26" customHeight="1" spans="1:7" x14ac:dyDescent="0.25">
      <c r="A8" s="12" t="s">
        <v>73</v>
      </c>
      <c r="B8" s="13"/>
      <c r="C8" s="13"/>
      <c r="D8" s="14">
        <f>car_mile</f>
      </c>
      <c r="E8" s="15">
        <f>IF(OR(B8="",D8=""),"",B8*D8/1000)</f>
      </c>
      <c r="F8" s="15">
        <f>IF(OR(C8="",D8=""),"",C8*D8/1000)</f>
      </c>
      <c r="G8" s="16"/>
    </row>
    <row r="9" ht="26" customHeight="1" spans="1:7" x14ac:dyDescent="0.25">
      <c r="A9" s="12" t="s">
        <v>74</v>
      </c>
      <c r="B9" s="13"/>
      <c r="C9" s="13"/>
      <c r="D9" s="14">
        <f>rail_mile</f>
      </c>
      <c r="E9" s="15">
        <f>IF(OR(B9="",D9=""),"",B9*D9/1000)</f>
      </c>
      <c r="F9" s="15">
        <f>IF(OR(C9="",D9=""),"",C9*D9/1000)</f>
      </c>
      <c r="G9" s="16"/>
    </row>
    <row r="10" ht="26" customHeight="1" spans="1:7" x14ac:dyDescent="0.25">
      <c r="A10" s="12" t="s">
        <v>75</v>
      </c>
      <c r="B10" s="13"/>
      <c r="C10" s="13"/>
      <c r="D10" s="14">
        <f>car_mile</f>
      </c>
      <c r="E10" s="15">
        <f>IF(OR(B10="",D10=""),"",B10*D10/1000)</f>
      </c>
      <c r="F10" s="15">
        <f>IF(OR(C10="",D10=""),"",C10*D10/1000)</f>
      </c>
      <c r="G10" s="16"/>
    </row>
    <row r="11" ht="26" customHeight="1" spans="1:7" x14ac:dyDescent="0.25">
      <c r="A11" s="12" t="s">
        <v>76</v>
      </c>
      <c r="B11" s="13"/>
      <c r="C11" s="13"/>
      <c r="D11" s="14">
        <f>car_mile</f>
      </c>
      <c r="E11" s="15">
        <f>IF(OR(B11="",D11=""),"",B11*D11/1000)</f>
      </c>
      <c r="F11" s="15">
        <f>IF(OR(C11="",D11=""),"",C11*D11/1000)</f>
      </c>
      <c r="G11" s="16"/>
    </row>
    <row r="12" spans="1:6" x14ac:dyDescent="0.25">
      <c r="A12" s="17" t="s">
        <v>77</v>
      </c>
      <c r="E12" s="18">
        <f>SUM(E5:E11)</f>
      </c>
      <c r="F12" s="18">
        <f>SUM(F5:F11)</f>
      </c>
    </row>
    <row r="14" ht="20" customHeight="1" spans="1:7" x14ac:dyDescent="0.25">
      <c r="A14" s="10" t="s">
        <v>62</v>
      </c>
      <c r="B14" s="10">
        <f>IF(SUMPRODUCT(--(((B5:B11&lt;&gt;"")+(C5:C11&lt;&gt;""))&gt;0),--(D5:D11=""))=0,"OK — nothing is being counted without a published factor","INCOMPLETE — a row has activity but no conversion factor. Fill the Factors sheet.")</f>
      </c>
      <c r="C14" s="10"/>
      <c r="D14" s="10"/>
      <c r="E14" s="10"/>
      <c r="F14" s="10"/>
      <c r="G14" s="10"/>
    </row>
    <row r="17" ht="20" customHeight="1" spans="1:7" x14ac:dyDescent="0.25">
      <c r="A17" s="10" t="s">
        <v>78</v>
      </c>
      <c r="B17" s="10">
        <f>IF(COUNTBLANK(B5:B11)+COUNTBLANK(C5:C11)=0,"OK — every category carries a figure or an explicit zero","INCOMPLETE — a category is blank. A blank means you did not look; a zero means you looked. PPN 06/21 requires all five.")</f>
      </c>
      <c r="C17" s="10"/>
      <c r="D17" s="10"/>
      <c r="E17" s="10"/>
      <c r="F17" s="10"/>
      <c r="G17" s="10"/>
    </row>
  </sheetData>
  <mergeCells count="4">
    <mergeCell ref="A1:G1"/>
    <mergeCell ref="A2:G2"/>
    <mergeCell ref="B14:G14"/>
    <mergeCell ref="B17:G17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7A3C"/>
  </sheetPr>
  <dimension ref="A1:G16"/>
  <sheetFormatPr defaultRowHeight="15" outlineLevelRow="0" outlineLevelCol="0" x14ac:dyDescent="55"/>
  <cols>
    <col min="1" max="1" width="38" customWidth="1"/>
    <col min="2" max="3" width="18" customWidth="1"/>
    <col min="4" max="4" width="52" customWidth="1"/>
  </cols>
  <sheetData>
    <row r="1" ht="22" customHeight="1" spans="1:7" x14ac:dyDescent="0.25">
      <c r="A1" s="1" t="s">
        <v>79</v>
      </c>
      <c r="B1" s="1"/>
      <c r="C1" s="1"/>
      <c r="D1" s="1"/>
      <c r="E1" s="1"/>
      <c r="F1" s="1"/>
      <c r="G1" s="1"/>
    </row>
    <row r="2" spans="1:7" x14ac:dyDescent="0.25">
      <c r="A2" s="2" t="s">
        <v>80</v>
      </c>
      <c r="B2" s="2"/>
      <c r="C2" s="2"/>
      <c r="D2" s="2"/>
      <c r="E2" s="2"/>
      <c r="F2" s="2"/>
      <c r="G2" s="2"/>
    </row>
    <row r="3" ht="6" customHeight="1" x14ac:dyDescent="0.25"/>
    <row r="4" ht="30" customHeight="1" spans="1:4" x14ac:dyDescent="0.25">
      <c r="A4" s="5" t="s">
        <v>81</v>
      </c>
      <c r="B4" s="5" t="s">
        <v>82</v>
      </c>
      <c r="C4" s="5" t="s">
        <v>83</v>
      </c>
      <c r="D4" s="5" t="s">
        <v>84</v>
      </c>
    </row>
    <row r="5" spans="1:4" x14ac:dyDescent="0.25">
      <c r="A5" s="19" t="s">
        <v>85</v>
      </c>
      <c r="B5" s="15">
        <f>'Scope 1'!E8</f>
      </c>
      <c r="C5" s="15">
        <f>'Scope 1'!F8</f>
      </c>
      <c r="D5" s="8" t="s">
        <v>86</v>
      </c>
    </row>
    <row r="6" spans="1:4" x14ac:dyDescent="0.25">
      <c r="A6" s="19" t="s">
        <v>87</v>
      </c>
      <c r="B6" s="15">
        <f>'Scope 2'!E7</f>
      </c>
      <c r="C6" s="15">
        <f>'Scope 2'!F7</f>
      </c>
      <c r="D6" s="8" t="s">
        <v>88</v>
      </c>
    </row>
    <row r="7" spans="1:4" x14ac:dyDescent="0.25">
      <c r="A7" s="19" t="s">
        <v>89</v>
      </c>
      <c r="B7" s="15">
        <f>'Scope 3'!E12</f>
      </c>
      <c r="C7" s="15">
        <f>'Scope 3'!F12</f>
      </c>
      <c r="D7" s="8" t="s">
        <v>90</v>
      </c>
    </row>
    <row r="8" spans="1:3" x14ac:dyDescent="0.25">
      <c r="A8" s="20" t="s">
        <v>91</v>
      </c>
      <c r="B8" s="21">
        <f>SUM(B5:B7)</f>
      </c>
      <c r="C8" s="21">
        <f>SUM(C5:C7)</f>
      </c>
    </row>
    <row r="10" spans="1:4" x14ac:dyDescent="0.25">
      <c r="A10" s="10" t="s">
        <v>92</v>
      </c>
      <c r="B10" s="22">
        <f>IF(B8=0,"",(C8-B8)/B8)</f>
      </c>
      <c r="D10" s="2" t="s">
        <v>93</v>
      </c>
    </row>
    <row r="12" ht="18" customHeight="1" spans="1:4" x14ac:dyDescent="0.25">
      <c r="A12" s="10" t="s">
        <v>94</v>
      </c>
      <c r="B12" s="10">
        <f>IF(COUNT(Factors!B5:B13)=0,"NOT DONE — no conversion factor has been entered. Every figure above is zero because of it.","OK — "&amp;COUNT(Factors!B5:B13)&amp;" factors entered")</f>
      </c>
      <c r="C12" s="10"/>
      <c r="D12" s="10"/>
    </row>
    <row r="13" ht="18" customHeight="1" spans="1:4" x14ac:dyDescent="0.25">
      <c r="A13" s="10" t="s">
        <v>95</v>
      </c>
      <c r="B13" s="10">
        <f>IF(ROUND(B8-(SUMPRODUCT('Scope 1'!B5:B7,'Scope 1'!D5:D7)+SUMPRODUCT('Scope 2'!B5:B6,'Scope 2'!D5:D6)+SUMPRODUCT('Scope 3'!B5:B11,'Scope 3'!D5:D11))/1000,4)=0,"OK — the baseline total equals activity x factor across all three sheets","DOES NOT RECONCILE — a total has been overtyped, or a row sits outside its total")</f>
      </c>
      <c r="C13" s="10"/>
      <c r="D13" s="10"/>
    </row>
    <row r="14" ht="18" customHeight="1" spans="1:4" x14ac:dyDescent="0.25">
      <c r="A14" s="10" t="s">
        <v>96</v>
      </c>
      <c r="B14" s="10">
        <f>IF(COUNTBLANK('Scope 3'!B5:B11)+COUNTBLANK('Scope 3'!C5:C11)=0,"OK — all five categories carry a figure or an explicit zero","INCOMPLETE — see the Scope 3 sheet")</f>
      </c>
      <c r="C14" s="10"/>
      <c r="D14" s="10"/>
    </row>
    <row r="16" spans="1:4" x14ac:dyDescent="0.25">
      <c r="A16" s="23" t="s">
        <v>97</v>
      </c>
      <c r="B16" s="23"/>
      <c r="C16" s="23"/>
      <c r="D16" s="23"/>
    </row>
  </sheetData>
  <mergeCells count="6">
    <mergeCell ref="A1:G1"/>
    <mergeCell ref="A2:G2"/>
    <mergeCell ref="B12:D12"/>
    <mergeCell ref="B13:D13"/>
    <mergeCell ref="B14:D14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Factors</vt:lpstr>
      <vt:lpstr>Scope 1</vt:lpstr>
      <vt:lpstr>Scope 2</vt:lpstr>
      <vt:lpstr>Scope 3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ETABLIX</dc:creator>
  <dc:title/>
  <dc:subject/>
  <dc:description/>
  <cp:keywords/>
  <cp:category/>
  <cp:lastModifiedBy>Unknown</cp:lastModifiedBy>
  <dcterms:created xsi:type="dcterms:W3CDTF">2026-10-05T10:53:02Z</dcterms:created>
  <dcterms:modified xsi:type="dcterms:W3CDTF">2026-10-05T10:53:02Z</dcterms:modified>
</cp:coreProperties>
</file>