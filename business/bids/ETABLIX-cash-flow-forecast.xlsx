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Assumptions" state="visible" r:id="rId5"/>
    <sheet sheetId="3" name="Monthly cash flow" state="visible" r:id="rId6"/>
    <sheet sheetId="4" name="Annual summary" state="visible" r:id="rId7"/>
  </sheets>
  <calcPr calcId="171027"/>
</workbook>
</file>

<file path=xl/sharedStrings.xml><?xml version="1.0" encoding="utf-8"?>
<sst xmlns="http://schemas.openxmlformats.org/spreadsheetml/2006/main" count="171" uniqueCount="98">
  <si>
    <t>CASH-FLOW FORECAST — how to use this file</t>
  </si>
  <si>
    <t/>
  </si>
  <si>
    <t>JNN GLOBAL LTD, trading as ETABLIX. Company number 15405437.</t>
  </si>
  <si>
    <t>1. Fill every shaded cell on the Assumptions sheet. They are the only cells you type into.</t>
  </si>
  <si>
    <t>2. Fill the Basis column for every assumption. This is the column that matters. An assessor knows a forecast from a company with no trading history cannot be accurate — what they are testing is whether it is reasoned. A figure with a stated basis is evidence of thinking; the same figure with an empty basis is evidence of nothing.</t>
  </si>
  <si>
    <t>3. Everything on the Monthly cash flow and Annual summary sheets is a formula. Do not type over a formula — change the assumption behind it.</t>
  </si>
  <si>
    <t>4. Set the start month on the Assumptions sheet. Every month column is derived from it.</t>
  </si>
  <si>
    <t>What to be careful about</t>
  </si>
  <si>
    <t>• A forecast that shows the company never running short of cash is the one an assessor disbelieves first. If the model shows a trough, leave the trough in and say how it is funded. A stated, funded trough reads as competence; a flat line reads as a model that was adjusted until it looked comfortable.</t>
  </si>
  <si>
    <t>• Payment terms are the whole exercise. Revenue recognised in month 3 and collected in month 5 is a two-month hole that the profit figure does not show. That is what the debtor-days assumption is for, and it is the assumption to be pessimistic about.</t>
  </si>
  <si>
    <t>• Do not forecast more work than one person can deliver. Multiply the engagement count by the days each takes and check it against the working days available. The model does this for you on row 'Capacity check' — if it turns red, the forecast is claiming capacity the company does not have, and an assessor who spots that discounts everything else.</t>
  </si>
  <si>
    <t>• Do not put a figure in that you cannot defend in a meeting. You will be asked about exactly one number, and it will be the largest one.</t>
  </si>
  <si>
    <t>VAT and tax are modelled simply and are not tax advice. Have the accountant check the file before it is submitted.</t>
  </si>
  <si>
    <t>#</t>
  </si>
  <si>
    <t>Assumption</t>
  </si>
  <si>
    <t>Value</t>
  </si>
  <si>
    <t>Unit</t>
  </si>
  <si>
    <t>Basis — where this number comes from</t>
  </si>
  <si>
    <t>Period</t>
  </si>
  <si>
    <t>First month of the forecast</t>
  </si>
  <si>
    <t>date</t>
  </si>
  <si>
    <t>Revenue — Model 01 Advisory</t>
  </si>
  <si>
    <t>Engagements won per month, steady state</t>
  </si>
  <si>
    <t>number</t>
  </si>
  <si>
    <t>Average engagement value</t>
  </si>
  <si>
    <t>£</t>
  </si>
  <si>
    <t>Delivery days per engagement</t>
  </si>
  <si>
    <t>days</t>
  </si>
  <si>
    <t>Months before steady state is reached</t>
  </si>
  <si>
    <t>months</t>
  </si>
  <si>
    <t>Revenue — Model 02 Management Integrator</t>
  </si>
  <si>
    <t>Engagements running concurrently, steady state</t>
  </si>
  <si>
    <t>Monthly fee per engagement</t>
  </si>
  <si>
    <t>Delivery days per engagement per month</t>
  </si>
  <si>
    <t>Conversion — be pessimistic here</t>
  </si>
  <si>
    <t>Qualified enquiries per month</t>
  </si>
  <si>
    <t>Proportion of enquiries that convert</t>
  </si>
  <si>
    <t>%</t>
  </si>
  <si>
    <t>Collection</t>
  </si>
  <si>
    <t>Debtor days — invoice to cash</t>
  </si>
  <si>
    <t>Proportion written off</t>
  </si>
  <si>
    <t>Cost base — monthly</t>
  </si>
  <si>
    <t>Director's salary and drawings</t>
  </si>
  <si>
    <t>£/month</t>
  </si>
  <si>
    <t>Other employment cost</t>
  </si>
  <si>
    <t>Insurance — PI, PL, EL, spread monthly</t>
  </si>
  <si>
    <t>Accountancy and payroll</t>
  </si>
  <si>
    <t>Software, hosting and telephony</t>
  </si>
  <si>
    <t>Travel and site attendance</t>
  </si>
  <si>
    <t>Marketing and business development</t>
  </si>
  <si>
    <t>Accreditation and membership, spread monthly</t>
  </si>
  <si>
    <t>Everything else</t>
  </si>
  <si>
    <t>Contingency on the cost base</t>
  </si>
  <si>
    <t>Capacity — this is the honesty check</t>
  </si>
  <si>
    <t>Working days available per month, all people</t>
  </si>
  <si>
    <t>Tax and funding</t>
  </si>
  <si>
    <t>VAT rate on sales</t>
  </si>
  <si>
    <t>Proportion of input VAT recoverable</t>
  </si>
  <si>
    <t>Corporation tax rate on profit</t>
  </si>
  <si>
    <t>Opening cash balance at month 1</t>
  </si>
  <si>
    <t>Director's loan or equity injected at month 1</t>
  </si>
  <si>
    <t>Every shaded cell is yours to fill. Leave none of them, and leave no Basis empty — an assumption with no stated basis is the first thing an assessor discounts.</t>
  </si>
  <si>
    <t>Month</t>
  </si>
  <si>
    <t>REVENUE EARNED (accruals — not cash)</t>
  </si>
  <si>
    <t>Model 01 — advisory</t>
  </si>
  <si>
    <t>Model 02 — management integrator</t>
  </si>
  <si>
    <t>Revenue earned</t>
  </si>
  <si>
    <t>CAPACITY CHECK — does the company have the days to deliver this?</t>
  </si>
  <si>
    <t>Delivery days the forecast requires</t>
  </si>
  <si>
    <t>Delivery days available</t>
  </si>
  <si>
    <t>Capacity check</t>
  </si>
  <si>
    <t>CASH IN</t>
  </si>
  <si>
    <t>Revenue collected</t>
  </si>
  <si>
    <t>VAT collected on those receipts</t>
  </si>
  <si>
    <t>Director's loan / equity injected</t>
  </si>
  <si>
    <t>Total cash in</t>
  </si>
  <si>
    <t>CASH OUT</t>
  </si>
  <si>
    <t>Insurance</t>
  </si>
  <si>
    <t>Accreditation and membership</t>
  </si>
  <si>
    <t>Contingency</t>
  </si>
  <si>
    <t>Operating cost</t>
  </si>
  <si>
    <t>VAT paid on costs</t>
  </si>
  <si>
    <t>VAT paid over to HMRC (quarterly)</t>
  </si>
  <si>
    <t>Corporation tax paid</t>
  </si>
  <si>
    <t>Total cash out</t>
  </si>
  <si>
    <t>CASH POSITION</t>
  </si>
  <si>
    <t>Opening balance</t>
  </si>
  <si>
    <t>Net movement</t>
  </si>
  <si>
    <t>Closing balance</t>
  </si>
  <si>
    <t>Lowest point reached to date</t>
  </si>
  <si>
    <t>Year 1</t>
  </si>
  <si>
    <t>Year 2</t>
  </si>
  <si>
    <t>Year 3</t>
  </si>
  <si>
    <t>Profit before tax</t>
  </si>
  <si>
    <t>Cash collected</t>
  </si>
  <si>
    <t>Closing cash at year end</t>
  </si>
  <si>
    <t>Lowest cash position in the year</t>
  </si>
  <si>
    <t>The lowest cash position is the number an assessor looks for. If it is negative, say in the narrative how it is funded — a stated, funded trough reads as competence. A model with no trough at all reads as a model that was adjusted until it looked comfortable.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</si>
</sst>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mmm yyyy"/>
    <numFmt numFmtId="165" formatCode="0.0"/>
    <numFmt numFmtId="166" formatCode="0.0%"/>
    <numFmt numFmtId="167" formatCode="mmm yy"/>
    <numFmt numFmtId="168" formatCode="#,##0;[Red](#,##0)"/>
  </numFmts>
  <fonts count="13" x14ac:knownFonts="1">
    <font>
      <color theme="1"/>
      <family val="2"/>
      <scheme val="minor"/>
      <sz val="11"/>
      <name val="Calibri"/>
    </font>
    <font>
      <b/>
      <color rgb="FF9C7A3C"/>
      <sz val="14"/>
      <name val="Arial"/>
    </font>
    <font>
      <color rgb="FF14181D"/>
      <sz val="10"/>
      <name val="Arial"/>
    </font>
    <font>
      <b/>
      <color rgb="FF14181D"/>
      <sz val="10"/>
      <name val="Arial"/>
    </font>
    <font>
      <b/>
      <color rgb="FF9C7A3C"/>
      <sz val="10"/>
      <name val="Arial"/>
    </font>
    <font>
      <color rgb="FF5B6672"/>
      <sz val="10"/>
      <name val="Arial"/>
    </font>
    <font>
      <sz val="10"/>
      <name val="Arial"/>
    </font>
    <font>
      <i/>
      <color rgb="FF5B6672"/>
      <sz val="9"/>
      <name val="Arial"/>
    </font>
    <font>
      <b/>
      <color rgb="FF14181D"/>
      <sz val="9"/>
      <name val="Arial"/>
    </font>
    <font>
      <b/>
      <color rgb="FF9C7A3C"/>
      <sz val="9"/>
      <name val="Arial"/>
    </font>
    <font>
      <color rgb="FF14181D"/>
      <sz val="9"/>
      <name val="Arial"/>
    </font>
    <font>
      <color rgb="FF9C7A3C"/>
      <sz val="9"/>
      <name val="Arial"/>
    </font>
    <font>
      <b/>
      <sz val="10"/>
      <name val="Arial"/>
    </font>
  </fonts>
  <fills count="5">
    <fill>
      <patternFill patternType="none"/>
    </fill>
    <fill>
      <patternFill patternType="gray125"/>
    </fill>
    <fill>
      <patternFill patternType="solid">
        <fgColor rgb="FFF0EDE6"/>
      </patternFill>
    </fill>
    <fill>
      <patternFill patternType="solid">
        <fgColor rgb="FFFFF6D8"/>
      </patternFill>
    </fill>
    <fill>
      <patternFill patternType="solid">
        <fgColor rgb="FFEDEFF1"/>
      </patternFill>
    </fill>
  </fills>
  <borders count="3">
    <border>
      <left/>
      <right/>
      <top/>
      <bottom/>
      <diagonal/>
    </border>
    <border>
      <left/>
      <right/>
      <top/>
      <bottom style="thin">
        <color rgb="FF5B6672"/>
      </bottom>
      <diagonal/>
    </border>
    <border>
      <left style="hair"/>
      <right style="hair"/>
      <top style="hair"/>
      <bottom style="hair"/>
      <diagonal/>
    </border>
  </borders>
  <cellStyleXfs count="1">
    <xf numFmtId="0" fontId="0" fillId="0" borderId="0"/>
  </cellStyleXfs>
  <cellXfs count="3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2" borderId="1" xfId="0" applyFont="1" applyFill="1" applyBorder="1"/>
    <xf numFmtId="0" fontId="4" fillId="2" borderId="0" xfId="0" applyFont="1" applyFill="1"/>
    <xf numFmtId="0" fontId="6" fillId="0" borderId="0" xfId="0" applyFont="1"/>
    <xf numFmtId="164" fontId="0" fillId="3" borderId="2" xfId="0" applyNumberFormat="1" applyFill="1" applyBorder="1"/>
    <xf numFmtId="0" fontId="0" fillId="3" borderId="0" xfId="0" applyFill="1" applyAlignment="1">
      <alignment vertical="top" wrapText="1"/>
    </xf>
    <xf numFmtId="165" fontId="0" fillId="3" borderId="2" xfId="0" applyNumberFormat="1" applyFill="1" applyBorder="1"/>
    <xf numFmtId="3" fontId="0" fillId="3" borderId="2" xfId="0" applyNumberFormat="1" applyFill="1" applyBorder="1"/>
    <xf numFmtId="1" fontId="0" fillId="3" borderId="2" xfId="0" applyNumberFormat="1" applyFill="1" applyBorder="1"/>
    <xf numFmtId="166" fontId="0" fillId="3" borderId="2" xfId="0" applyNumberFormat="1" applyFill="1" applyBorder="1"/>
    <xf numFmtId="0" fontId="7" fillId="0" borderId="0" xfId="0" applyFont="1"/>
    <xf numFmtId="0" fontId="8" fillId="2" borderId="0" xfId="0" applyFont="1" applyFill="1" applyAlignment="1">
      <alignment horizontal="left"/>
    </xf>
    <xf numFmtId="167" fontId="8" fillId="2" borderId="0" xfId="0" applyNumberFormat="1" applyFont="1" applyFill="1" applyAlignment="1">
      <alignment horizontal="center"/>
    </xf>
    <xf numFmtId="0" fontId="9" fillId="2" borderId="0" xfId="0" applyFont="1" applyFill="1"/>
    <xf numFmtId="0" fontId="10" fillId="0" borderId="0" xfId="0" applyFont="1"/>
    <xf numFmtId="168" fontId="10" fillId="0" borderId="0" xfId="0" applyNumberFormat="1" applyFont="1"/>
    <xf numFmtId="0" fontId="8" fillId="4" borderId="0" xfId="0" applyFont="1" applyFill="1"/>
    <xf numFmtId="168" fontId="8" fillId="4" borderId="0" xfId="0" applyNumberFormat="1" applyFont="1" applyFill="1"/>
    <xf numFmtId="165" fontId="10" fillId="0" borderId="0" xfId="0" applyNumberFormat="1" applyFont="1"/>
    <xf numFmtId="0" fontId="8" fillId="0" borderId="0" xfId="0" applyFont="1"/>
    <xf numFmtId="168" fontId="8" fillId="0" borderId="0" xfId="0" applyNumberFormat="1" applyFont="1"/>
    <xf numFmtId="0" fontId="11" fillId="0" borderId="0" xfId="0" applyFont="1"/>
    <xf numFmtId="168" fontId="11" fillId="0" borderId="0" xfId="0" applyNumberFormat="1" applyFont="1"/>
    <xf numFmtId="0" fontId="12" fillId="2" borderId="0" xfId="0" applyFont="1" applyFill="1"/>
    <xf numFmtId="0" fontId="12" fillId="0" borderId="0" xfId="0" applyFont="1"/>
    <xf numFmtId="168" fontId="12" fillId="0" borderId="0" xfId="0" applyNumberFormat="1" applyFont="1"/>
    <xf numFmtId="168" fontId="6" fillId="0" borderId="0" xfId="0" applyNumberFormat="1" applyFont="1"/>
    <xf numFmtId="0" fontId="12" fillId="4" borderId="0" xfId="0" applyFont="1" applyFill="1"/>
    <xf numFmtId="168" fontId="12" fillId="4" borderId="0" xfId="0" applyNumberFormat="1" applyFont="1" applyFill="1"/>
    <xf numFmtId="0" fontId="4" fillId="0" borderId="0" xfId="0" applyFont="1"/>
    <xf numFmtId="168" fontId="4" fillId="0" borderId="0" xfId="0" applyNumberFormat="1" applyFont="1"/>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FormatPr defaultRowHeight="15" outlineLevelRow="0" outlineLevelCol="0" x14ac:dyDescent="55"/>
  <cols>
    <col min="1" max="1" width="100" customWidth="1"/>
  </cols>
  <sheetData>
    <row r="1" spans="1:1" x14ac:dyDescent="0.25">
      <c r="A1" s="1" t="s">
        <v>0</v>
      </c>
    </row>
    <row r="2" spans="1:1" x14ac:dyDescent="0.25">
      <c r="A2" s="2" t="s">
        <v>1</v>
      </c>
    </row>
    <row r="3" spans="1:1" x14ac:dyDescent="0.25">
      <c r="A3" s="3" t="s">
        <v>2</v>
      </c>
    </row>
    <row r="4" spans="1:1" x14ac:dyDescent="0.25">
      <c r="A4" s="2" t="s">
        <v>1</v>
      </c>
    </row>
    <row r="5" spans="1:1" x14ac:dyDescent="0.25">
      <c r="A5" s="2" t="s">
        <v>3</v>
      </c>
    </row>
    <row r="6" spans="1:1" x14ac:dyDescent="0.25">
      <c r="A6" s="2" t="s">
        <v>4</v>
      </c>
    </row>
    <row r="7" spans="1:1" x14ac:dyDescent="0.25">
      <c r="A7" s="2" t="s">
        <v>5</v>
      </c>
    </row>
    <row r="8" spans="1:1" x14ac:dyDescent="0.25">
      <c r="A8" s="2" t="s">
        <v>6</v>
      </c>
    </row>
    <row r="9" spans="1:1" x14ac:dyDescent="0.25">
      <c r="A9" s="2" t="s">
        <v>1</v>
      </c>
    </row>
    <row r="10" spans="1:1" x14ac:dyDescent="0.25">
      <c r="A10" s="4" t="s">
        <v>7</v>
      </c>
    </row>
    <row r="11" spans="1:1" x14ac:dyDescent="0.25">
      <c r="A11" s="2" t="s">
        <v>1</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v>
      </c>
    </row>
    <row r="17" spans="1:1" x14ac:dyDescent="0.25">
      <c r="A17" s="5"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1" width="5" customWidth="1"/>
    <col min="2" max="2" width="46" customWidth="1"/>
    <col min="3" max="4" width="14" customWidth="1"/>
    <col min="5" max="5" width="62" customWidth="1"/>
  </cols>
  <sheetData>
    <row r="1" spans="1:5" x14ac:dyDescent="0.25">
      <c r="A1" s="6" t="s">
        <v>13</v>
      </c>
      <c r="B1" s="6" t="s">
        <v>14</v>
      </c>
      <c r="C1" s="6" t="s">
        <v>15</v>
      </c>
      <c r="D1" s="6" t="s">
        <v>16</v>
      </c>
      <c r="E1" s="6" t="s">
        <v>17</v>
      </c>
    </row>
    <row r="2" spans="1:5" x14ac:dyDescent="0.25">
      <c r="A2" t="s">
        <v>1</v>
      </c>
      <c r="B2" s="7" t="s">
        <v>18</v>
      </c>
      <c r="C2" t="s">
        <v>1</v>
      </c>
      <c r="D2" t="s">
        <v>1</v>
      </c>
      <c r="E2" t="s">
        <v>1</v>
      </c>
    </row>
    <row r="3" spans="1:5" x14ac:dyDescent="0.25">
      <c r="A3" s="8">
        <v>1</v>
      </c>
      <c r="B3" s="8" t="s">
        <v>19</v>
      </c>
      <c r="C3" s="9"/>
      <c r="D3" s="8" t="s">
        <v>20</v>
      </c>
      <c r="E3" s="10"/>
    </row>
    <row r="4" spans="1:5" x14ac:dyDescent="0.25">
      <c r="A4" t="s">
        <v>1</v>
      </c>
      <c r="B4" s="7" t="s">
        <v>21</v>
      </c>
      <c r="C4" t="s">
        <v>1</v>
      </c>
      <c r="D4" t="s">
        <v>1</v>
      </c>
      <c r="E4" t="s">
        <v>1</v>
      </c>
    </row>
    <row r="5" spans="1:5" x14ac:dyDescent="0.25">
      <c r="A5" s="8">
        <v>2</v>
      </c>
      <c r="B5" s="8" t="s">
        <v>22</v>
      </c>
      <c r="C5" s="11"/>
      <c r="D5" s="8" t="s">
        <v>23</v>
      </c>
      <c r="E5" s="10"/>
    </row>
    <row r="6" spans="1:5" x14ac:dyDescent="0.25">
      <c r="A6" s="8">
        <v>3</v>
      </c>
      <c r="B6" s="8" t="s">
        <v>24</v>
      </c>
      <c r="C6" s="12"/>
      <c r="D6" s="8" t="s">
        <v>25</v>
      </c>
      <c r="E6" s="10"/>
    </row>
    <row r="7" spans="1:5" x14ac:dyDescent="0.25">
      <c r="A7" s="8">
        <v>4</v>
      </c>
      <c r="B7" s="8" t="s">
        <v>26</v>
      </c>
      <c r="C7" s="11"/>
      <c r="D7" s="8" t="s">
        <v>27</v>
      </c>
      <c r="E7" s="10"/>
    </row>
    <row r="8" spans="1:5" x14ac:dyDescent="0.25">
      <c r="A8" s="8">
        <v>5</v>
      </c>
      <c r="B8" s="8" t="s">
        <v>28</v>
      </c>
      <c r="C8" s="13"/>
      <c r="D8" s="8" t="s">
        <v>29</v>
      </c>
      <c r="E8" s="10"/>
    </row>
    <row r="9" spans="1:5" x14ac:dyDescent="0.25">
      <c r="A9" t="s">
        <v>1</v>
      </c>
      <c r="B9" s="7" t="s">
        <v>30</v>
      </c>
      <c r="C9" t="s">
        <v>1</v>
      </c>
      <c r="D9" t="s">
        <v>1</v>
      </c>
      <c r="E9" t="s">
        <v>1</v>
      </c>
    </row>
    <row r="10" spans="1:5" x14ac:dyDescent="0.25">
      <c r="A10" s="8">
        <v>6</v>
      </c>
      <c r="B10" s="8" t="s">
        <v>31</v>
      </c>
      <c r="C10" s="11"/>
      <c r="D10" s="8" t="s">
        <v>23</v>
      </c>
      <c r="E10" s="10"/>
    </row>
    <row r="11" spans="1:5" x14ac:dyDescent="0.25">
      <c r="A11" s="8">
        <v>7</v>
      </c>
      <c r="B11" s="8" t="s">
        <v>32</v>
      </c>
      <c r="C11" s="12"/>
      <c r="D11" s="8" t="s">
        <v>25</v>
      </c>
      <c r="E11" s="10"/>
    </row>
    <row r="12" spans="1:5" x14ac:dyDescent="0.25">
      <c r="A12" s="8">
        <v>8</v>
      </c>
      <c r="B12" s="8" t="s">
        <v>33</v>
      </c>
      <c r="C12" s="11"/>
      <c r="D12" s="8" t="s">
        <v>27</v>
      </c>
      <c r="E12" s="10"/>
    </row>
    <row r="13" spans="1:5" x14ac:dyDescent="0.25">
      <c r="A13" s="8">
        <v>9</v>
      </c>
      <c r="B13" s="8" t="s">
        <v>28</v>
      </c>
      <c r="C13" s="13"/>
      <c r="D13" s="8" t="s">
        <v>29</v>
      </c>
      <c r="E13" s="10"/>
    </row>
    <row r="14" spans="1:5" x14ac:dyDescent="0.25">
      <c r="A14" t="s">
        <v>1</v>
      </c>
      <c r="B14" s="7" t="s">
        <v>34</v>
      </c>
      <c r="C14" t="s">
        <v>1</v>
      </c>
      <c r="D14" t="s">
        <v>1</v>
      </c>
      <c r="E14" t="s">
        <v>1</v>
      </c>
    </row>
    <row r="15" spans="1:5" x14ac:dyDescent="0.25">
      <c r="A15" s="8">
        <v>10</v>
      </c>
      <c r="B15" s="8" t="s">
        <v>35</v>
      </c>
      <c r="C15" s="11"/>
      <c r="D15" s="8" t="s">
        <v>23</v>
      </c>
      <c r="E15" s="10"/>
    </row>
    <row r="16" spans="1:5" x14ac:dyDescent="0.25">
      <c r="A16" s="8">
        <v>11</v>
      </c>
      <c r="B16" s="8" t="s">
        <v>36</v>
      </c>
      <c r="C16" s="14"/>
      <c r="D16" s="8" t="s">
        <v>37</v>
      </c>
      <c r="E16" s="10"/>
    </row>
    <row r="17" spans="1:5" x14ac:dyDescent="0.25">
      <c r="A17" t="s">
        <v>1</v>
      </c>
      <c r="B17" s="7" t="s">
        <v>38</v>
      </c>
      <c r="C17" t="s">
        <v>1</v>
      </c>
      <c r="D17" t="s">
        <v>1</v>
      </c>
      <c r="E17" t="s">
        <v>1</v>
      </c>
    </row>
    <row r="18" spans="1:5" x14ac:dyDescent="0.25">
      <c r="A18" s="8">
        <v>12</v>
      </c>
      <c r="B18" s="8" t="s">
        <v>39</v>
      </c>
      <c r="C18" s="13"/>
      <c r="D18" s="8" t="s">
        <v>27</v>
      </c>
      <c r="E18" s="10"/>
    </row>
    <row r="19" spans="1:5" x14ac:dyDescent="0.25">
      <c r="A19" s="8">
        <v>13</v>
      </c>
      <c r="B19" s="8" t="s">
        <v>40</v>
      </c>
      <c r="C19" s="14"/>
      <c r="D19" s="8" t="s">
        <v>37</v>
      </c>
      <c r="E19" s="10"/>
    </row>
    <row r="20" spans="1:5" x14ac:dyDescent="0.25">
      <c r="A20" t="s">
        <v>1</v>
      </c>
      <c r="B20" s="7" t="s">
        <v>41</v>
      </c>
      <c r="C20" t="s">
        <v>1</v>
      </c>
      <c r="D20" t="s">
        <v>1</v>
      </c>
      <c r="E20" t="s">
        <v>1</v>
      </c>
    </row>
    <row r="21" spans="1:5" x14ac:dyDescent="0.25">
      <c r="A21" s="8">
        <v>14</v>
      </c>
      <c r="B21" s="8" t="s">
        <v>42</v>
      </c>
      <c r="C21" s="12"/>
      <c r="D21" s="8" t="s">
        <v>43</v>
      </c>
      <c r="E21" s="10"/>
    </row>
    <row r="22" spans="1:5" x14ac:dyDescent="0.25">
      <c r="A22" s="8">
        <v>15</v>
      </c>
      <c r="B22" s="8" t="s">
        <v>44</v>
      </c>
      <c r="C22" s="12"/>
      <c r="D22" s="8" t="s">
        <v>43</v>
      </c>
      <c r="E22" s="10"/>
    </row>
    <row r="23" spans="1:5" x14ac:dyDescent="0.25">
      <c r="A23" s="8">
        <v>16</v>
      </c>
      <c r="B23" s="8" t="s">
        <v>45</v>
      </c>
      <c r="C23" s="12"/>
      <c r="D23" s="8" t="s">
        <v>43</v>
      </c>
      <c r="E23" s="10"/>
    </row>
    <row r="24" spans="1:5" x14ac:dyDescent="0.25">
      <c r="A24" s="8">
        <v>17</v>
      </c>
      <c r="B24" s="8" t="s">
        <v>46</v>
      </c>
      <c r="C24" s="12"/>
      <c r="D24" s="8" t="s">
        <v>43</v>
      </c>
      <c r="E24" s="10"/>
    </row>
    <row r="25" spans="1:5" x14ac:dyDescent="0.25">
      <c r="A25" s="8">
        <v>18</v>
      </c>
      <c r="B25" s="8" t="s">
        <v>47</v>
      </c>
      <c r="C25" s="12"/>
      <c r="D25" s="8" t="s">
        <v>43</v>
      </c>
      <c r="E25" s="10"/>
    </row>
    <row r="26" spans="1:5" x14ac:dyDescent="0.25">
      <c r="A26" s="8">
        <v>19</v>
      </c>
      <c r="B26" s="8" t="s">
        <v>48</v>
      </c>
      <c r="C26" s="12"/>
      <c r="D26" s="8" t="s">
        <v>43</v>
      </c>
      <c r="E26" s="10"/>
    </row>
    <row r="27" spans="1:5" x14ac:dyDescent="0.25">
      <c r="A27" s="8">
        <v>20</v>
      </c>
      <c r="B27" s="8" t="s">
        <v>49</v>
      </c>
      <c r="C27" s="12"/>
      <c r="D27" s="8" t="s">
        <v>43</v>
      </c>
      <c r="E27" s="10"/>
    </row>
    <row r="28" spans="1:5" x14ac:dyDescent="0.25">
      <c r="A28" s="8">
        <v>21</v>
      </c>
      <c r="B28" s="8" t="s">
        <v>50</v>
      </c>
      <c r="C28" s="12"/>
      <c r="D28" s="8" t="s">
        <v>43</v>
      </c>
      <c r="E28" s="10"/>
    </row>
    <row r="29" spans="1:5" x14ac:dyDescent="0.25">
      <c r="A29" s="8">
        <v>22</v>
      </c>
      <c r="B29" s="8" t="s">
        <v>51</v>
      </c>
      <c r="C29" s="12"/>
      <c r="D29" s="8" t="s">
        <v>43</v>
      </c>
      <c r="E29" s="10"/>
    </row>
    <row r="30" spans="1:5" x14ac:dyDescent="0.25">
      <c r="A30" s="8">
        <v>23</v>
      </c>
      <c r="B30" s="8" t="s">
        <v>52</v>
      </c>
      <c r="C30" s="14"/>
      <c r="D30" s="8" t="s">
        <v>37</v>
      </c>
      <c r="E30" s="10"/>
    </row>
    <row r="31" spans="1:5" x14ac:dyDescent="0.25">
      <c r="A31" t="s">
        <v>1</v>
      </c>
      <c r="B31" s="7" t="s">
        <v>53</v>
      </c>
      <c r="C31" t="s">
        <v>1</v>
      </c>
      <c r="D31" t="s">
        <v>1</v>
      </c>
      <c r="E31" t="s">
        <v>1</v>
      </c>
    </row>
    <row r="32" spans="1:5" x14ac:dyDescent="0.25">
      <c r="A32" s="8">
        <v>24</v>
      </c>
      <c r="B32" s="8" t="s">
        <v>54</v>
      </c>
      <c r="C32" s="11"/>
      <c r="D32" s="8" t="s">
        <v>27</v>
      </c>
      <c r="E32" s="10"/>
    </row>
    <row r="33" spans="1:5" x14ac:dyDescent="0.25">
      <c r="A33" t="s">
        <v>1</v>
      </c>
      <c r="B33" s="7" t="s">
        <v>55</v>
      </c>
      <c r="C33" t="s">
        <v>1</v>
      </c>
      <c r="D33" t="s">
        <v>1</v>
      </c>
      <c r="E33" t="s">
        <v>1</v>
      </c>
    </row>
    <row r="34" spans="1:5" x14ac:dyDescent="0.25">
      <c r="A34" s="8">
        <v>25</v>
      </c>
      <c r="B34" s="8" t="s">
        <v>56</v>
      </c>
      <c r="C34" s="14"/>
      <c r="D34" s="8" t="s">
        <v>37</v>
      </c>
      <c r="E34" s="10"/>
    </row>
    <row r="35" spans="1:5" x14ac:dyDescent="0.25">
      <c r="A35" s="8">
        <v>26</v>
      </c>
      <c r="B35" s="8" t="s">
        <v>57</v>
      </c>
      <c r="C35" s="14"/>
      <c r="D35" s="8" t="s">
        <v>37</v>
      </c>
      <c r="E35" s="10"/>
    </row>
    <row r="36" spans="1:5" x14ac:dyDescent="0.25">
      <c r="A36" s="8">
        <v>27</v>
      </c>
      <c r="B36" s="8" t="s">
        <v>58</v>
      </c>
      <c r="C36" s="14"/>
      <c r="D36" s="8" t="s">
        <v>37</v>
      </c>
      <c r="E36" s="10"/>
    </row>
    <row r="37" spans="1:5" x14ac:dyDescent="0.25">
      <c r="A37" s="8">
        <v>28</v>
      </c>
      <c r="B37" s="8" t="s">
        <v>59</v>
      </c>
      <c r="C37" s="12"/>
      <c r="D37" s="8" t="s">
        <v>25</v>
      </c>
      <c r="E37" s="10"/>
    </row>
    <row r="38" spans="1:5" x14ac:dyDescent="0.25">
      <c r="A38" s="8">
        <v>29</v>
      </c>
      <c r="B38" s="8" t="s">
        <v>60</v>
      </c>
      <c r="C38" s="12"/>
      <c r="D38" s="8" t="s">
        <v>25</v>
      </c>
      <c r="E38" s="10"/>
    </row>
    <row r="40" spans="1:5" x14ac:dyDescent="0.25">
      <c r="A40" t="s">
        <v>1</v>
      </c>
      <c r="B40" s="15" t="s">
        <v>61</v>
      </c>
      <c r="C40" t="s">
        <v>1</v>
      </c>
      <c r="D40" t="s">
        <v>1</v>
      </c>
      <c r="E40"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9"/>
  <sheetViews>
    <sheetView workbookViewId="0">
      <pane xSplit="1" ySplit="1" topLeftCell="B2" activePane="bottomRight" state="frozen"/>
      <selection pane="bottomRight"/>
    </sheetView>
  </sheetViews>
  <sheetFormatPr defaultRowHeight="15" outlineLevelRow="0" outlineLevelCol="0" x14ac:dyDescent="55"/>
  <cols>
    <col min="1" max="1" width="42" customWidth="1"/>
    <col min="2" max="37" width="12" customWidth="1"/>
  </cols>
  <sheetData>
    <row r="1" spans="1:37" x14ac:dyDescent="0.25">
      <c r="A1" s="16" t="s">
        <v>62</v>
      </c>
      <c r="B1" s="17">
        <f>EDATE(Assumptions!$C$3,0)</f>
      </c>
      <c r="C1" s="17">
        <f>EDATE(Assumptions!$C$3,1)</f>
      </c>
      <c r="D1" s="17">
        <f>EDATE(Assumptions!$C$3,2)</f>
      </c>
      <c r="E1" s="17">
        <f>EDATE(Assumptions!$C$3,3)</f>
      </c>
      <c r="F1" s="17">
        <f>EDATE(Assumptions!$C$3,4)</f>
      </c>
      <c r="G1" s="17">
        <f>EDATE(Assumptions!$C$3,5)</f>
      </c>
      <c r="H1" s="17">
        <f>EDATE(Assumptions!$C$3,6)</f>
      </c>
      <c r="I1" s="17">
        <f>EDATE(Assumptions!$C$3,7)</f>
      </c>
      <c r="J1" s="17">
        <f>EDATE(Assumptions!$C$3,8)</f>
      </c>
      <c r="K1" s="17">
        <f>EDATE(Assumptions!$C$3,9)</f>
      </c>
      <c r="L1" s="17">
        <f>EDATE(Assumptions!$C$3,10)</f>
      </c>
      <c r="M1" s="17">
        <f>EDATE(Assumptions!$C$3,11)</f>
      </c>
      <c r="N1" s="17">
        <f>EDATE(Assumptions!$C$3,12)</f>
      </c>
      <c r="O1" s="17">
        <f>EDATE(Assumptions!$C$3,13)</f>
      </c>
      <c r="P1" s="17">
        <f>EDATE(Assumptions!$C$3,14)</f>
      </c>
      <c r="Q1" s="17">
        <f>EDATE(Assumptions!$C$3,15)</f>
      </c>
      <c r="R1" s="17">
        <f>EDATE(Assumptions!$C$3,16)</f>
      </c>
      <c r="S1" s="17">
        <f>EDATE(Assumptions!$C$3,17)</f>
      </c>
      <c r="T1" s="17">
        <f>EDATE(Assumptions!$C$3,18)</f>
      </c>
      <c r="U1" s="17">
        <f>EDATE(Assumptions!$C$3,19)</f>
      </c>
      <c r="V1" s="17">
        <f>EDATE(Assumptions!$C$3,20)</f>
      </c>
      <c r="W1" s="17">
        <f>EDATE(Assumptions!$C$3,21)</f>
      </c>
      <c r="X1" s="17">
        <f>EDATE(Assumptions!$C$3,22)</f>
      </c>
      <c r="Y1" s="17">
        <f>EDATE(Assumptions!$C$3,23)</f>
      </c>
      <c r="Z1" s="17">
        <f>EDATE(Assumptions!$C$3,24)</f>
      </c>
      <c r="AA1" s="17">
        <f>EDATE(Assumptions!$C$3,25)</f>
      </c>
      <c r="AB1" s="17">
        <f>EDATE(Assumptions!$C$3,26)</f>
      </c>
      <c r="AC1" s="17">
        <f>EDATE(Assumptions!$C$3,27)</f>
      </c>
      <c r="AD1" s="17">
        <f>EDATE(Assumptions!$C$3,28)</f>
      </c>
      <c r="AE1" s="17">
        <f>EDATE(Assumptions!$C$3,29)</f>
      </c>
      <c r="AF1" s="17">
        <f>EDATE(Assumptions!$C$3,30)</f>
      </c>
      <c r="AG1" s="17">
        <f>EDATE(Assumptions!$C$3,31)</f>
      </c>
      <c r="AH1" s="17">
        <f>EDATE(Assumptions!$C$3,32)</f>
      </c>
      <c r="AI1" s="17">
        <f>EDATE(Assumptions!$C$3,33)</f>
      </c>
      <c r="AJ1" s="17">
        <f>EDATE(Assumptions!$C$3,34)</f>
      </c>
      <c r="AK1" s="17">
        <f>EDATE(Assumptions!$C$3,35)</f>
      </c>
    </row>
    <row r="2" spans="1:1" x14ac:dyDescent="0.25">
      <c r="A2" s="18" t="s">
        <v>63</v>
      </c>
    </row>
    <row r="3" spans="1:37" x14ac:dyDescent="0.25">
      <c r="A3" s="19" t="s">
        <v>64</v>
      </c>
      <c r="B3" s="20">
        <f>Assumptions!$C$5*Assumptions!$C$6*MIN(1,(0+1)/MAX(1,Assumptions!$C$8))</f>
      </c>
      <c r="C3" s="20">
        <f>Assumptions!$C$5*Assumptions!$C$6*MIN(1,(1+1)/MAX(1,Assumptions!$C$8))</f>
      </c>
      <c r="D3" s="20">
        <f>Assumptions!$C$5*Assumptions!$C$6*MIN(1,(2+1)/MAX(1,Assumptions!$C$8))</f>
      </c>
      <c r="E3" s="20">
        <f>Assumptions!$C$5*Assumptions!$C$6*MIN(1,(3+1)/MAX(1,Assumptions!$C$8))</f>
      </c>
      <c r="F3" s="20">
        <f>Assumptions!$C$5*Assumptions!$C$6*MIN(1,(4+1)/MAX(1,Assumptions!$C$8))</f>
      </c>
      <c r="G3" s="20">
        <f>Assumptions!$C$5*Assumptions!$C$6*MIN(1,(5+1)/MAX(1,Assumptions!$C$8))</f>
      </c>
      <c r="H3" s="20">
        <f>Assumptions!$C$5*Assumptions!$C$6*MIN(1,(6+1)/MAX(1,Assumptions!$C$8))</f>
      </c>
      <c r="I3" s="20">
        <f>Assumptions!$C$5*Assumptions!$C$6*MIN(1,(7+1)/MAX(1,Assumptions!$C$8))</f>
      </c>
      <c r="J3" s="20">
        <f>Assumptions!$C$5*Assumptions!$C$6*MIN(1,(8+1)/MAX(1,Assumptions!$C$8))</f>
      </c>
      <c r="K3" s="20">
        <f>Assumptions!$C$5*Assumptions!$C$6*MIN(1,(9+1)/MAX(1,Assumptions!$C$8))</f>
      </c>
      <c r="L3" s="20">
        <f>Assumptions!$C$5*Assumptions!$C$6*MIN(1,(10+1)/MAX(1,Assumptions!$C$8))</f>
      </c>
      <c r="M3" s="20">
        <f>Assumptions!$C$5*Assumptions!$C$6*MIN(1,(11+1)/MAX(1,Assumptions!$C$8))</f>
      </c>
      <c r="N3" s="20">
        <f>Assumptions!$C$5*Assumptions!$C$6*MIN(1,(12+1)/MAX(1,Assumptions!$C$8))</f>
      </c>
      <c r="O3" s="20">
        <f>Assumptions!$C$5*Assumptions!$C$6*MIN(1,(13+1)/MAX(1,Assumptions!$C$8))</f>
      </c>
      <c r="P3" s="20">
        <f>Assumptions!$C$5*Assumptions!$C$6*MIN(1,(14+1)/MAX(1,Assumptions!$C$8))</f>
      </c>
      <c r="Q3" s="20">
        <f>Assumptions!$C$5*Assumptions!$C$6*MIN(1,(15+1)/MAX(1,Assumptions!$C$8))</f>
      </c>
      <c r="R3" s="20">
        <f>Assumptions!$C$5*Assumptions!$C$6*MIN(1,(16+1)/MAX(1,Assumptions!$C$8))</f>
      </c>
      <c r="S3" s="20">
        <f>Assumptions!$C$5*Assumptions!$C$6*MIN(1,(17+1)/MAX(1,Assumptions!$C$8))</f>
      </c>
      <c r="T3" s="20">
        <f>Assumptions!$C$5*Assumptions!$C$6*MIN(1,(18+1)/MAX(1,Assumptions!$C$8))</f>
      </c>
      <c r="U3" s="20">
        <f>Assumptions!$C$5*Assumptions!$C$6*MIN(1,(19+1)/MAX(1,Assumptions!$C$8))</f>
      </c>
      <c r="V3" s="20">
        <f>Assumptions!$C$5*Assumptions!$C$6*MIN(1,(20+1)/MAX(1,Assumptions!$C$8))</f>
      </c>
      <c r="W3" s="20">
        <f>Assumptions!$C$5*Assumptions!$C$6*MIN(1,(21+1)/MAX(1,Assumptions!$C$8))</f>
      </c>
      <c r="X3" s="20">
        <f>Assumptions!$C$5*Assumptions!$C$6*MIN(1,(22+1)/MAX(1,Assumptions!$C$8))</f>
      </c>
      <c r="Y3" s="20">
        <f>Assumptions!$C$5*Assumptions!$C$6*MIN(1,(23+1)/MAX(1,Assumptions!$C$8))</f>
      </c>
      <c r="Z3" s="20">
        <f>Assumptions!$C$5*Assumptions!$C$6*MIN(1,(24+1)/MAX(1,Assumptions!$C$8))</f>
      </c>
      <c r="AA3" s="20">
        <f>Assumptions!$C$5*Assumptions!$C$6*MIN(1,(25+1)/MAX(1,Assumptions!$C$8))</f>
      </c>
      <c r="AB3" s="20">
        <f>Assumptions!$C$5*Assumptions!$C$6*MIN(1,(26+1)/MAX(1,Assumptions!$C$8))</f>
      </c>
      <c r="AC3" s="20">
        <f>Assumptions!$C$5*Assumptions!$C$6*MIN(1,(27+1)/MAX(1,Assumptions!$C$8))</f>
      </c>
      <c r="AD3" s="20">
        <f>Assumptions!$C$5*Assumptions!$C$6*MIN(1,(28+1)/MAX(1,Assumptions!$C$8))</f>
      </c>
      <c r="AE3" s="20">
        <f>Assumptions!$C$5*Assumptions!$C$6*MIN(1,(29+1)/MAX(1,Assumptions!$C$8))</f>
      </c>
      <c r="AF3" s="20">
        <f>Assumptions!$C$5*Assumptions!$C$6*MIN(1,(30+1)/MAX(1,Assumptions!$C$8))</f>
      </c>
      <c r="AG3" s="20">
        <f>Assumptions!$C$5*Assumptions!$C$6*MIN(1,(31+1)/MAX(1,Assumptions!$C$8))</f>
      </c>
      <c r="AH3" s="20">
        <f>Assumptions!$C$5*Assumptions!$C$6*MIN(1,(32+1)/MAX(1,Assumptions!$C$8))</f>
      </c>
      <c r="AI3" s="20">
        <f>Assumptions!$C$5*Assumptions!$C$6*MIN(1,(33+1)/MAX(1,Assumptions!$C$8))</f>
      </c>
      <c r="AJ3" s="20">
        <f>Assumptions!$C$5*Assumptions!$C$6*MIN(1,(34+1)/MAX(1,Assumptions!$C$8))</f>
      </c>
      <c r="AK3" s="20">
        <f>Assumptions!$C$5*Assumptions!$C$6*MIN(1,(35+1)/MAX(1,Assumptions!$C$8))</f>
      </c>
    </row>
    <row r="4" spans="1:37" x14ac:dyDescent="0.25">
      <c r="A4" s="19" t="s">
        <v>65</v>
      </c>
      <c r="B4" s="20">
        <f>Assumptions!$C$10*Assumptions!$C$11*MIN(1,(0+1)/MAX(1,Assumptions!$C$13))</f>
      </c>
      <c r="C4" s="20">
        <f>Assumptions!$C$10*Assumptions!$C$11*MIN(1,(1+1)/MAX(1,Assumptions!$C$13))</f>
      </c>
      <c r="D4" s="20">
        <f>Assumptions!$C$10*Assumptions!$C$11*MIN(1,(2+1)/MAX(1,Assumptions!$C$13))</f>
      </c>
      <c r="E4" s="20">
        <f>Assumptions!$C$10*Assumptions!$C$11*MIN(1,(3+1)/MAX(1,Assumptions!$C$13))</f>
      </c>
      <c r="F4" s="20">
        <f>Assumptions!$C$10*Assumptions!$C$11*MIN(1,(4+1)/MAX(1,Assumptions!$C$13))</f>
      </c>
      <c r="G4" s="20">
        <f>Assumptions!$C$10*Assumptions!$C$11*MIN(1,(5+1)/MAX(1,Assumptions!$C$13))</f>
      </c>
      <c r="H4" s="20">
        <f>Assumptions!$C$10*Assumptions!$C$11*MIN(1,(6+1)/MAX(1,Assumptions!$C$13))</f>
      </c>
      <c r="I4" s="20">
        <f>Assumptions!$C$10*Assumptions!$C$11*MIN(1,(7+1)/MAX(1,Assumptions!$C$13))</f>
      </c>
      <c r="J4" s="20">
        <f>Assumptions!$C$10*Assumptions!$C$11*MIN(1,(8+1)/MAX(1,Assumptions!$C$13))</f>
      </c>
      <c r="K4" s="20">
        <f>Assumptions!$C$10*Assumptions!$C$11*MIN(1,(9+1)/MAX(1,Assumptions!$C$13))</f>
      </c>
      <c r="L4" s="20">
        <f>Assumptions!$C$10*Assumptions!$C$11*MIN(1,(10+1)/MAX(1,Assumptions!$C$13))</f>
      </c>
      <c r="M4" s="20">
        <f>Assumptions!$C$10*Assumptions!$C$11*MIN(1,(11+1)/MAX(1,Assumptions!$C$13))</f>
      </c>
      <c r="N4" s="20">
        <f>Assumptions!$C$10*Assumptions!$C$11*MIN(1,(12+1)/MAX(1,Assumptions!$C$13))</f>
      </c>
      <c r="O4" s="20">
        <f>Assumptions!$C$10*Assumptions!$C$11*MIN(1,(13+1)/MAX(1,Assumptions!$C$13))</f>
      </c>
      <c r="P4" s="20">
        <f>Assumptions!$C$10*Assumptions!$C$11*MIN(1,(14+1)/MAX(1,Assumptions!$C$13))</f>
      </c>
      <c r="Q4" s="20">
        <f>Assumptions!$C$10*Assumptions!$C$11*MIN(1,(15+1)/MAX(1,Assumptions!$C$13))</f>
      </c>
      <c r="R4" s="20">
        <f>Assumptions!$C$10*Assumptions!$C$11*MIN(1,(16+1)/MAX(1,Assumptions!$C$13))</f>
      </c>
      <c r="S4" s="20">
        <f>Assumptions!$C$10*Assumptions!$C$11*MIN(1,(17+1)/MAX(1,Assumptions!$C$13))</f>
      </c>
      <c r="T4" s="20">
        <f>Assumptions!$C$10*Assumptions!$C$11*MIN(1,(18+1)/MAX(1,Assumptions!$C$13))</f>
      </c>
      <c r="U4" s="20">
        <f>Assumptions!$C$10*Assumptions!$C$11*MIN(1,(19+1)/MAX(1,Assumptions!$C$13))</f>
      </c>
      <c r="V4" s="20">
        <f>Assumptions!$C$10*Assumptions!$C$11*MIN(1,(20+1)/MAX(1,Assumptions!$C$13))</f>
      </c>
      <c r="W4" s="20">
        <f>Assumptions!$C$10*Assumptions!$C$11*MIN(1,(21+1)/MAX(1,Assumptions!$C$13))</f>
      </c>
      <c r="X4" s="20">
        <f>Assumptions!$C$10*Assumptions!$C$11*MIN(1,(22+1)/MAX(1,Assumptions!$C$13))</f>
      </c>
      <c r="Y4" s="20">
        <f>Assumptions!$C$10*Assumptions!$C$11*MIN(1,(23+1)/MAX(1,Assumptions!$C$13))</f>
      </c>
      <c r="Z4" s="20">
        <f>Assumptions!$C$10*Assumptions!$C$11*MIN(1,(24+1)/MAX(1,Assumptions!$C$13))</f>
      </c>
      <c r="AA4" s="20">
        <f>Assumptions!$C$10*Assumptions!$C$11*MIN(1,(25+1)/MAX(1,Assumptions!$C$13))</f>
      </c>
      <c r="AB4" s="20">
        <f>Assumptions!$C$10*Assumptions!$C$11*MIN(1,(26+1)/MAX(1,Assumptions!$C$13))</f>
      </c>
      <c r="AC4" s="20">
        <f>Assumptions!$C$10*Assumptions!$C$11*MIN(1,(27+1)/MAX(1,Assumptions!$C$13))</f>
      </c>
      <c r="AD4" s="20">
        <f>Assumptions!$C$10*Assumptions!$C$11*MIN(1,(28+1)/MAX(1,Assumptions!$C$13))</f>
      </c>
      <c r="AE4" s="20">
        <f>Assumptions!$C$10*Assumptions!$C$11*MIN(1,(29+1)/MAX(1,Assumptions!$C$13))</f>
      </c>
      <c r="AF4" s="20">
        <f>Assumptions!$C$10*Assumptions!$C$11*MIN(1,(30+1)/MAX(1,Assumptions!$C$13))</f>
      </c>
      <c r="AG4" s="20">
        <f>Assumptions!$C$10*Assumptions!$C$11*MIN(1,(31+1)/MAX(1,Assumptions!$C$13))</f>
      </c>
      <c r="AH4" s="20">
        <f>Assumptions!$C$10*Assumptions!$C$11*MIN(1,(32+1)/MAX(1,Assumptions!$C$13))</f>
      </c>
      <c r="AI4" s="20">
        <f>Assumptions!$C$10*Assumptions!$C$11*MIN(1,(33+1)/MAX(1,Assumptions!$C$13))</f>
      </c>
      <c r="AJ4" s="20">
        <f>Assumptions!$C$10*Assumptions!$C$11*MIN(1,(34+1)/MAX(1,Assumptions!$C$13))</f>
      </c>
      <c r="AK4" s="20">
        <f>Assumptions!$C$10*Assumptions!$C$11*MIN(1,(35+1)/MAX(1,Assumptions!$C$13))</f>
      </c>
    </row>
    <row r="5" spans="1:37" x14ac:dyDescent="0.25">
      <c r="A5" s="21" t="s">
        <v>66</v>
      </c>
      <c r="B5" s="22">
        <f>SUM(B3:B4)</f>
      </c>
      <c r="C5" s="22">
        <f>SUM(C3:C4)</f>
      </c>
      <c r="D5" s="22">
        <f>SUM(D3:D4)</f>
      </c>
      <c r="E5" s="22">
        <f>SUM(E3:E4)</f>
      </c>
      <c r="F5" s="22">
        <f>SUM(F3:F4)</f>
      </c>
      <c r="G5" s="22">
        <f>SUM(G3:G4)</f>
      </c>
      <c r="H5" s="22">
        <f>SUM(H3:H4)</f>
      </c>
      <c r="I5" s="22">
        <f>SUM(I3:I4)</f>
      </c>
      <c r="J5" s="22">
        <f>SUM(J3:J4)</f>
      </c>
      <c r="K5" s="22">
        <f>SUM(K3:K4)</f>
      </c>
      <c r="L5" s="22">
        <f>SUM(L3:L4)</f>
      </c>
      <c r="M5" s="22">
        <f>SUM(M3:M4)</f>
      </c>
      <c r="N5" s="22">
        <f>SUM(N3:N4)</f>
      </c>
      <c r="O5" s="22">
        <f>SUM(O3:O4)</f>
      </c>
      <c r="P5" s="22">
        <f>SUM(P3:P4)</f>
      </c>
      <c r="Q5" s="22">
        <f>SUM(Q3:Q4)</f>
      </c>
      <c r="R5" s="22">
        <f>SUM(R3:R4)</f>
      </c>
      <c r="S5" s="22">
        <f>SUM(S3:S4)</f>
      </c>
      <c r="T5" s="22">
        <f>SUM(T3:T4)</f>
      </c>
      <c r="U5" s="22">
        <f>SUM(U3:U4)</f>
      </c>
      <c r="V5" s="22">
        <f>SUM(V3:V4)</f>
      </c>
      <c r="W5" s="22">
        <f>SUM(W3:W4)</f>
      </c>
      <c r="X5" s="22">
        <f>SUM(X3:X4)</f>
      </c>
      <c r="Y5" s="22">
        <f>SUM(Y3:Y4)</f>
      </c>
      <c r="Z5" s="22">
        <f>SUM(Z3:Z4)</f>
      </c>
      <c r="AA5" s="22">
        <f>SUM(AA3:AA4)</f>
      </c>
      <c r="AB5" s="22">
        <f>SUM(AB3:AB4)</f>
      </c>
      <c r="AC5" s="22">
        <f>SUM(AC3:AC4)</f>
      </c>
      <c r="AD5" s="22">
        <f>SUM(AD3:AD4)</f>
      </c>
      <c r="AE5" s="22">
        <f>SUM(AE3:AE4)</f>
      </c>
      <c r="AF5" s="22">
        <f>SUM(AF3:AF4)</f>
      </c>
      <c r="AG5" s="22">
        <f>SUM(AG3:AG4)</f>
      </c>
      <c r="AH5" s="22">
        <f>SUM(AH3:AH4)</f>
      </c>
      <c r="AI5" s="22">
        <f>SUM(AI3:AI4)</f>
      </c>
      <c r="AJ5" s="22">
        <f>SUM(AJ3:AJ4)</f>
      </c>
      <c r="AK5" s="22">
        <f>SUM(AK3:AK4)</f>
      </c>
    </row>
    <row r="7" spans="1:1" x14ac:dyDescent="0.25">
      <c r="A7" s="18" t="s">
        <v>67</v>
      </c>
    </row>
    <row r="8" spans="1:37" x14ac:dyDescent="0.25">
      <c r="A8" s="19" t="s">
        <v>68</v>
      </c>
      <c r="B8" s="23">
        <f>Assumptions!$C$5*Assumptions!$C$7*MIN(1,(0+1)/MAX(1,Assumptions!$C$8))+Assumptions!$C$10*Assumptions!$C$12*MIN(1,(0+1)/MAX(1,Assumptions!$C$13))</f>
      </c>
      <c r="C8" s="23">
        <f>Assumptions!$C$5*Assumptions!$C$7*MIN(1,(1+1)/MAX(1,Assumptions!$C$8))+Assumptions!$C$10*Assumptions!$C$12*MIN(1,(1+1)/MAX(1,Assumptions!$C$13))</f>
      </c>
      <c r="D8" s="23">
        <f>Assumptions!$C$5*Assumptions!$C$7*MIN(1,(2+1)/MAX(1,Assumptions!$C$8))+Assumptions!$C$10*Assumptions!$C$12*MIN(1,(2+1)/MAX(1,Assumptions!$C$13))</f>
      </c>
      <c r="E8" s="23">
        <f>Assumptions!$C$5*Assumptions!$C$7*MIN(1,(3+1)/MAX(1,Assumptions!$C$8))+Assumptions!$C$10*Assumptions!$C$12*MIN(1,(3+1)/MAX(1,Assumptions!$C$13))</f>
      </c>
      <c r="F8" s="23">
        <f>Assumptions!$C$5*Assumptions!$C$7*MIN(1,(4+1)/MAX(1,Assumptions!$C$8))+Assumptions!$C$10*Assumptions!$C$12*MIN(1,(4+1)/MAX(1,Assumptions!$C$13))</f>
      </c>
      <c r="G8" s="23">
        <f>Assumptions!$C$5*Assumptions!$C$7*MIN(1,(5+1)/MAX(1,Assumptions!$C$8))+Assumptions!$C$10*Assumptions!$C$12*MIN(1,(5+1)/MAX(1,Assumptions!$C$13))</f>
      </c>
      <c r="H8" s="23">
        <f>Assumptions!$C$5*Assumptions!$C$7*MIN(1,(6+1)/MAX(1,Assumptions!$C$8))+Assumptions!$C$10*Assumptions!$C$12*MIN(1,(6+1)/MAX(1,Assumptions!$C$13))</f>
      </c>
      <c r="I8" s="23">
        <f>Assumptions!$C$5*Assumptions!$C$7*MIN(1,(7+1)/MAX(1,Assumptions!$C$8))+Assumptions!$C$10*Assumptions!$C$12*MIN(1,(7+1)/MAX(1,Assumptions!$C$13))</f>
      </c>
      <c r="J8" s="23">
        <f>Assumptions!$C$5*Assumptions!$C$7*MIN(1,(8+1)/MAX(1,Assumptions!$C$8))+Assumptions!$C$10*Assumptions!$C$12*MIN(1,(8+1)/MAX(1,Assumptions!$C$13))</f>
      </c>
      <c r="K8" s="23">
        <f>Assumptions!$C$5*Assumptions!$C$7*MIN(1,(9+1)/MAX(1,Assumptions!$C$8))+Assumptions!$C$10*Assumptions!$C$12*MIN(1,(9+1)/MAX(1,Assumptions!$C$13))</f>
      </c>
      <c r="L8" s="23">
        <f>Assumptions!$C$5*Assumptions!$C$7*MIN(1,(10+1)/MAX(1,Assumptions!$C$8))+Assumptions!$C$10*Assumptions!$C$12*MIN(1,(10+1)/MAX(1,Assumptions!$C$13))</f>
      </c>
      <c r="M8" s="23">
        <f>Assumptions!$C$5*Assumptions!$C$7*MIN(1,(11+1)/MAX(1,Assumptions!$C$8))+Assumptions!$C$10*Assumptions!$C$12*MIN(1,(11+1)/MAX(1,Assumptions!$C$13))</f>
      </c>
      <c r="N8" s="23">
        <f>Assumptions!$C$5*Assumptions!$C$7*MIN(1,(12+1)/MAX(1,Assumptions!$C$8))+Assumptions!$C$10*Assumptions!$C$12*MIN(1,(12+1)/MAX(1,Assumptions!$C$13))</f>
      </c>
      <c r="O8" s="23">
        <f>Assumptions!$C$5*Assumptions!$C$7*MIN(1,(13+1)/MAX(1,Assumptions!$C$8))+Assumptions!$C$10*Assumptions!$C$12*MIN(1,(13+1)/MAX(1,Assumptions!$C$13))</f>
      </c>
      <c r="P8" s="23">
        <f>Assumptions!$C$5*Assumptions!$C$7*MIN(1,(14+1)/MAX(1,Assumptions!$C$8))+Assumptions!$C$10*Assumptions!$C$12*MIN(1,(14+1)/MAX(1,Assumptions!$C$13))</f>
      </c>
      <c r="Q8" s="23">
        <f>Assumptions!$C$5*Assumptions!$C$7*MIN(1,(15+1)/MAX(1,Assumptions!$C$8))+Assumptions!$C$10*Assumptions!$C$12*MIN(1,(15+1)/MAX(1,Assumptions!$C$13))</f>
      </c>
      <c r="R8" s="23">
        <f>Assumptions!$C$5*Assumptions!$C$7*MIN(1,(16+1)/MAX(1,Assumptions!$C$8))+Assumptions!$C$10*Assumptions!$C$12*MIN(1,(16+1)/MAX(1,Assumptions!$C$13))</f>
      </c>
      <c r="S8" s="23">
        <f>Assumptions!$C$5*Assumptions!$C$7*MIN(1,(17+1)/MAX(1,Assumptions!$C$8))+Assumptions!$C$10*Assumptions!$C$12*MIN(1,(17+1)/MAX(1,Assumptions!$C$13))</f>
      </c>
      <c r="T8" s="23">
        <f>Assumptions!$C$5*Assumptions!$C$7*MIN(1,(18+1)/MAX(1,Assumptions!$C$8))+Assumptions!$C$10*Assumptions!$C$12*MIN(1,(18+1)/MAX(1,Assumptions!$C$13))</f>
      </c>
      <c r="U8" s="23">
        <f>Assumptions!$C$5*Assumptions!$C$7*MIN(1,(19+1)/MAX(1,Assumptions!$C$8))+Assumptions!$C$10*Assumptions!$C$12*MIN(1,(19+1)/MAX(1,Assumptions!$C$13))</f>
      </c>
      <c r="V8" s="23">
        <f>Assumptions!$C$5*Assumptions!$C$7*MIN(1,(20+1)/MAX(1,Assumptions!$C$8))+Assumptions!$C$10*Assumptions!$C$12*MIN(1,(20+1)/MAX(1,Assumptions!$C$13))</f>
      </c>
      <c r="W8" s="23">
        <f>Assumptions!$C$5*Assumptions!$C$7*MIN(1,(21+1)/MAX(1,Assumptions!$C$8))+Assumptions!$C$10*Assumptions!$C$12*MIN(1,(21+1)/MAX(1,Assumptions!$C$13))</f>
      </c>
      <c r="X8" s="23">
        <f>Assumptions!$C$5*Assumptions!$C$7*MIN(1,(22+1)/MAX(1,Assumptions!$C$8))+Assumptions!$C$10*Assumptions!$C$12*MIN(1,(22+1)/MAX(1,Assumptions!$C$13))</f>
      </c>
      <c r="Y8" s="23">
        <f>Assumptions!$C$5*Assumptions!$C$7*MIN(1,(23+1)/MAX(1,Assumptions!$C$8))+Assumptions!$C$10*Assumptions!$C$12*MIN(1,(23+1)/MAX(1,Assumptions!$C$13))</f>
      </c>
      <c r="Z8" s="23">
        <f>Assumptions!$C$5*Assumptions!$C$7*MIN(1,(24+1)/MAX(1,Assumptions!$C$8))+Assumptions!$C$10*Assumptions!$C$12*MIN(1,(24+1)/MAX(1,Assumptions!$C$13))</f>
      </c>
      <c r="AA8" s="23">
        <f>Assumptions!$C$5*Assumptions!$C$7*MIN(1,(25+1)/MAX(1,Assumptions!$C$8))+Assumptions!$C$10*Assumptions!$C$12*MIN(1,(25+1)/MAX(1,Assumptions!$C$13))</f>
      </c>
      <c r="AB8" s="23">
        <f>Assumptions!$C$5*Assumptions!$C$7*MIN(1,(26+1)/MAX(1,Assumptions!$C$8))+Assumptions!$C$10*Assumptions!$C$12*MIN(1,(26+1)/MAX(1,Assumptions!$C$13))</f>
      </c>
      <c r="AC8" s="23">
        <f>Assumptions!$C$5*Assumptions!$C$7*MIN(1,(27+1)/MAX(1,Assumptions!$C$8))+Assumptions!$C$10*Assumptions!$C$12*MIN(1,(27+1)/MAX(1,Assumptions!$C$13))</f>
      </c>
      <c r="AD8" s="23">
        <f>Assumptions!$C$5*Assumptions!$C$7*MIN(1,(28+1)/MAX(1,Assumptions!$C$8))+Assumptions!$C$10*Assumptions!$C$12*MIN(1,(28+1)/MAX(1,Assumptions!$C$13))</f>
      </c>
      <c r="AE8" s="23">
        <f>Assumptions!$C$5*Assumptions!$C$7*MIN(1,(29+1)/MAX(1,Assumptions!$C$8))+Assumptions!$C$10*Assumptions!$C$12*MIN(1,(29+1)/MAX(1,Assumptions!$C$13))</f>
      </c>
      <c r="AF8" s="23">
        <f>Assumptions!$C$5*Assumptions!$C$7*MIN(1,(30+1)/MAX(1,Assumptions!$C$8))+Assumptions!$C$10*Assumptions!$C$12*MIN(1,(30+1)/MAX(1,Assumptions!$C$13))</f>
      </c>
      <c r="AG8" s="23">
        <f>Assumptions!$C$5*Assumptions!$C$7*MIN(1,(31+1)/MAX(1,Assumptions!$C$8))+Assumptions!$C$10*Assumptions!$C$12*MIN(1,(31+1)/MAX(1,Assumptions!$C$13))</f>
      </c>
      <c r="AH8" s="23">
        <f>Assumptions!$C$5*Assumptions!$C$7*MIN(1,(32+1)/MAX(1,Assumptions!$C$8))+Assumptions!$C$10*Assumptions!$C$12*MIN(1,(32+1)/MAX(1,Assumptions!$C$13))</f>
      </c>
      <c r="AI8" s="23">
        <f>Assumptions!$C$5*Assumptions!$C$7*MIN(1,(33+1)/MAX(1,Assumptions!$C$8))+Assumptions!$C$10*Assumptions!$C$12*MIN(1,(33+1)/MAX(1,Assumptions!$C$13))</f>
      </c>
      <c r="AJ8" s="23">
        <f>Assumptions!$C$5*Assumptions!$C$7*MIN(1,(34+1)/MAX(1,Assumptions!$C$8))+Assumptions!$C$10*Assumptions!$C$12*MIN(1,(34+1)/MAX(1,Assumptions!$C$13))</f>
      </c>
      <c r="AK8" s="23">
        <f>Assumptions!$C$5*Assumptions!$C$7*MIN(1,(35+1)/MAX(1,Assumptions!$C$8))+Assumptions!$C$10*Assumptions!$C$12*MIN(1,(35+1)/MAX(1,Assumptions!$C$13))</f>
      </c>
    </row>
    <row r="9" spans="1:37" x14ac:dyDescent="0.25">
      <c r="A9" s="19" t="s">
        <v>69</v>
      </c>
      <c r="B9" s="23">
        <f>Assumptions!$C$32</f>
      </c>
      <c r="C9" s="23">
        <f>Assumptions!$C$32</f>
      </c>
      <c r="D9" s="23">
        <f>Assumptions!$C$32</f>
      </c>
      <c r="E9" s="23">
        <f>Assumptions!$C$32</f>
      </c>
      <c r="F9" s="23">
        <f>Assumptions!$C$32</f>
      </c>
      <c r="G9" s="23">
        <f>Assumptions!$C$32</f>
      </c>
      <c r="H9" s="23">
        <f>Assumptions!$C$32</f>
      </c>
      <c r="I9" s="23">
        <f>Assumptions!$C$32</f>
      </c>
      <c r="J9" s="23">
        <f>Assumptions!$C$32</f>
      </c>
      <c r="K9" s="23">
        <f>Assumptions!$C$32</f>
      </c>
      <c r="L9" s="23">
        <f>Assumptions!$C$32</f>
      </c>
      <c r="M9" s="23">
        <f>Assumptions!$C$32</f>
      </c>
      <c r="N9" s="23">
        <f>Assumptions!$C$32</f>
      </c>
      <c r="O9" s="23">
        <f>Assumptions!$C$32</f>
      </c>
      <c r="P9" s="23">
        <f>Assumptions!$C$32</f>
      </c>
      <c r="Q9" s="23">
        <f>Assumptions!$C$32</f>
      </c>
      <c r="R9" s="23">
        <f>Assumptions!$C$32</f>
      </c>
      <c r="S9" s="23">
        <f>Assumptions!$C$32</f>
      </c>
      <c r="T9" s="23">
        <f>Assumptions!$C$32</f>
      </c>
      <c r="U9" s="23">
        <f>Assumptions!$C$32</f>
      </c>
      <c r="V9" s="23">
        <f>Assumptions!$C$32</f>
      </c>
      <c r="W9" s="23">
        <f>Assumptions!$C$32</f>
      </c>
      <c r="X9" s="23">
        <f>Assumptions!$C$32</f>
      </c>
      <c r="Y9" s="23">
        <f>Assumptions!$C$32</f>
      </c>
      <c r="Z9" s="23">
        <f>Assumptions!$C$32</f>
      </c>
      <c r="AA9" s="23">
        <f>Assumptions!$C$32</f>
      </c>
      <c r="AB9" s="23">
        <f>Assumptions!$C$32</f>
      </c>
      <c r="AC9" s="23">
        <f>Assumptions!$C$32</f>
      </c>
      <c r="AD9" s="23">
        <f>Assumptions!$C$32</f>
      </c>
      <c r="AE9" s="23">
        <f>Assumptions!$C$32</f>
      </c>
      <c r="AF9" s="23">
        <f>Assumptions!$C$32</f>
      </c>
      <c r="AG9" s="23">
        <f>Assumptions!$C$32</f>
      </c>
      <c r="AH9" s="23">
        <f>Assumptions!$C$32</f>
      </c>
      <c r="AI9" s="23">
        <f>Assumptions!$C$32</f>
      </c>
      <c r="AJ9" s="23">
        <f>Assumptions!$C$32</f>
      </c>
      <c r="AK9" s="23">
        <f>Assumptions!$C$32</f>
      </c>
    </row>
    <row r="10" spans="1:37" x14ac:dyDescent="0.25">
      <c r="A10" s="24" t="s">
        <v>70</v>
      </c>
      <c r="B10" s="24">
        <f>IF(B8&gt;B9,"OVER","ok")</f>
      </c>
      <c r="C10" s="24">
        <f>IF(C8&gt;C9,"OVER","ok")</f>
      </c>
      <c r="D10" s="24">
        <f>IF(D8&gt;D9,"OVER","ok")</f>
      </c>
      <c r="E10" s="24">
        <f>IF(E8&gt;E9,"OVER","ok")</f>
      </c>
      <c r="F10" s="24">
        <f>IF(F8&gt;F9,"OVER","ok")</f>
      </c>
      <c r="G10" s="24">
        <f>IF(G8&gt;G9,"OVER","ok")</f>
      </c>
      <c r="H10" s="24">
        <f>IF(H8&gt;H9,"OVER","ok")</f>
      </c>
      <c r="I10" s="24">
        <f>IF(I8&gt;I9,"OVER","ok")</f>
      </c>
      <c r="J10" s="24">
        <f>IF(J8&gt;J9,"OVER","ok")</f>
      </c>
      <c r="K10" s="24">
        <f>IF(K8&gt;K9,"OVER","ok")</f>
      </c>
      <c r="L10" s="24">
        <f>IF(L8&gt;L9,"OVER","ok")</f>
      </c>
      <c r="M10" s="24">
        <f>IF(M8&gt;M9,"OVER","ok")</f>
      </c>
      <c r="N10" s="24">
        <f>IF(N8&gt;N9,"OVER","ok")</f>
      </c>
      <c r="O10" s="24">
        <f>IF(O8&gt;O9,"OVER","ok")</f>
      </c>
      <c r="P10" s="24">
        <f>IF(P8&gt;P9,"OVER","ok")</f>
      </c>
      <c r="Q10" s="24">
        <f>IF(Q8&gt;Q9,"OVER","ok")</f>
      </c>
      <c r="R10" s="24">
        <f>IF(R8&gt;R9,"OVER","ok")</f>
      </c>
      <c r="S10" s="24">
        <f>IF(S8&gt;S9,"OVER","ok")</f>
      </c>
      <c r="T10" s="24">
        <f>IF(T8&gt;T9,"OVER","ok")</f>
      </c>
      <c r="U10" s="24">
        <f>IF(U8&gt;U9,"OVER","ok")</f>
      </c>
      <c r="V10" s="24">
        <f>IF(V8&gt;V9,"OVER","ok")</f>
      </c>
      <c r="W10" s="24">
        <f>IF(W8&gt;W9,"OVER","ok")</f>
      </c>
      <c r="X10" s="24">
        <f>IF(X8&gt;X9,"OVER","ok")</f>
      </c>
      <c r="Y10" s="24">
        <f>IF(Y8&gt;Y9,"OVER","ok")</f>
      </c>
      <c r="Z10" s="24">
        <f>IF(Z8&gt;Z9,"OVER","ok")</f>
      </c>
      <c r="AA10" s="24">
        <f>IF(AA8&gt;AA9,"OVER","ok")</f>
      </c>
      <c r="AB10" s="24">
        <f>IF(AB8&gt;AB9,"OVER","ok")</f>
      </c>
      <c r="AC10" s="24">
        <f>IF(AC8&gt;AC9,"OVER","ok")</f>
      </c>
      <c r="AD10" s="24">
        <f>IF(AD8&gt;AD9,"OVER","ok")</f>
      </c>
      <c r="AE10" s="24">
        <f>IF(AE8&gt;AE9,"OVER","ok")</f>
      </c>
      <c r="AF10" s="24">
        <f>IF(AF8&gt;AF9,"OVER","ok")</f>
      </c>
      <c r="AG10" s="24">
        <f>IF(AG8&gt;AG9,"OVER","ok")</f>
      </c>
      <c r="AH10" s="24">
        <f>IF(AH8&gt;AH9,"OVER","ok")</f>
      </c>
      <c r="AI10" s="24">
        <f>IF(AI8&gt;AI9,"OVER","ok")</f>
      </c>
      <c r="AJ10" s="24">
        <f>IF(AJ8&gt;AJ9,"OVER","ok")</f>
      </c>
      <c r="AK10" s="24">
        <f>IF(AK8&gt;AK9,"OVER","ok")</f>
      </c>
    </row>
    <row r="12" spans="1:1" x14ac:dyDescent="0.25">
      <c r="A12" s="18" t="s">
        <v>71</v>
      </c>
    </row>
    <row r="13" spans="1:37" x14ac:dyDescent="0.25">
      <c r="A13" s="19" t="s">
        <v>72</v>
      </c>
      <c r="B13" s="20">
        <f>IFERROR(INDEX($B5:$AK5,1,1-ROUND(Assumptions!$C$18/30,0))*(1-Assumptions!$C$19),0)</f>
      </c>
      <c r="C13" s="20">
        <f>IFERROR(INDEX($B5:$AK5,1,2-ROUND(Assumptions!$C$18/30,0))*(1-Assumptions!$C$19),0)</f>
      </c>
      <c r="D13" s="20">
        <f>IFERROR(INDEX($B5:$AK5,1,3-ROUND(Assumptions!$C$18/30,0))*(1-Assumptions!$C$19),0)</f>
      </c>
      <c r="E13" s="20">
        <f>IFERROR(INDEX($B5:$AK5,1,4-ROUND(Assumptions!$C$18/30,0))*(1-Assumptions!$C$19),0)</f>
      </c>
      <c r="F13" s="20">
        <f>IFERROR(INDEX($B5:$AK5,1,5-ROUND(Assumptions!$C$18/30,0))*(1-Assumptions!$C$19),0)</f>
      </c>
      <c r="G13" s="20">
        <f>IFERROR(INDEX($B5:$AK5,1,6-ROUND(Assumptions!$C$18/30,0))*(1-Assumptions!$C$19),0)</f>
      </c>
      <c r="H13" s="20">
        <f>IFERROR(INDEX($B5:$AK5,1,7-ROUND(Assumptions!$C$18/30,0))*(1-Assumptions!$C$19),0)</f>
      </c>
      <c r="I13" s="20">
        <f>IFERROR(INDEX($B5:$AK5,1,8-ROUND(Assumptions!$C$18/30,0))*(1-Assumptions!$C$19),0)</f>
      </c>
      <c r="J13" s="20">
        <f>IFERROR(INDEX($B5:$AK5,1,9-ROUND(Assumptions!$C$18/30,0))*(1-Assumptions!$C$19),0)</f>
      </c>
      <c r="K13" s="20">
        <f>IFERROR(INDEX($B5:$AK5,1,10-ROUND(Assumptions!$C$18/30,0))*(1-Assumptions!$C$19),0)</f>
      </c>
      <c r="L13" s="20">
        <f>IFERROR(INDEX($B5:$AK5,1,11-ROUND(Assumptions!$C$18/30,0))*(1-Assumptions!$C$19),0)</f>
      </c>
      <c r="M13" s="20">
        <f>IFERROR(INDEX($B5:$AK5,1,12-ROUND(Assumptions!$C$18/30,0))*(1-Assumptions!$C$19),0)</f>
      </c>
      <c r="N13" s="20">
        <f>IFERROR(INDEX($B5:$AK5,1,13-ROUND(Assumptions!$C$18/30,0))*(1-Assumptions!$C$19),0)</f>
      </c>
      <c r="O13" s="20">
        <f>IFERROR(INDEX($B5:$AK5,1,14-ROUND(Assumptions!$C$18/30,0))*(1-Assumptions!$C$19),0)</f>
      </c>
      <c r="P13" s="20">
        <f>IFERROR(INDEX($B5:$AK5,1,15-ROUND(Assumptions!$C$18/30,0))*(1-Assumptions!$C$19),0)</f>
      </c>
      <c r="Q13" s="20">
        <f>IFERROR(INDEX($B5:$AK5,1,16-ROUND(Assumptions!$C$18/30,0))*(1-Assumptions!$C$19),0)</f>
      </c>
      <c r="R13" s="20">
        <f>IFERROR(INDEX($B5:$AK5,1,17-ROUND(Assumptions!$C$18/30,0))*(1-Assumptions!$C$19),0)</f>
      </c>
      <c r="S13" s="20">
        <f>IFERROR(INDEX($B5:$AK5,1,18-ROUND(Assumptions!$C$18/30,0))*(1-Assumptions!$C$19),0)</f>
      </c>
      <c r="T13" s="20">
        <f>IFERROR(INDEX($B5:$AK5,1,19-ROUND(Assumptions!$C$18/30,0))*(1-Assumptions!$C$19),0)</f>
      </c>
      <c r="U13" s="20">
        <f>IFERROR(INDEX($B5:$AK5,1,20-ROUND(Assumptions!$C$18/30,0))*(1-Assumptions!$C$19),0)</f>
      </c>
      <c r="V13" s="20">
        <f>IFERROR(INDEX($B5:$AK5,1,21-ROUND(Assumptions!$C$18/30,0))*(1-Assumptions!$C$19),0)</f>
      </c>
      <c r="W13" s="20">
        <f>IFERROR(INDEX($B5:$AK5,1,22-ROUND(Assumptions!$C$18/30,0))*(1-Assumptions!$C$19),0)</f>
      </c>
      <c r="X13" s="20">
        <f>IFERROR(INDEX($B5:$AK5,1,23-ROUND(Assumptions!$C$18/30,0))*(1-Assumptions!$C$19),0)</f>
      </c>
      <c r="Y13" s="20">
        <f>IFERROR(INDEX($B5:$AK5,1,24-ROUND(Assumptions!$C$18/30,0))*(1-Assumptions!$C$19),0)</f>
      </c>
      <c r="Z13" s="20">
        <f>IFERROR(INDEX($B5:$AK5,1,25-ROUND(Assumptions!$C$18/30,0))*(1-Assumptions!$C$19),0)</f>
      </c>
      <c r="AA13" s="20">
        <f>IFERROR(INDEX($B5:$AK5,1,26-ROUND(Assumptions!$C$18/30,0))*(1-Assumptions!$C$19),0)</f>
      </c>
      <c r="AB13" s="20">
        <f>IFERROR(INDEX($B5:$AK5,1,27-ROUND(Assumptions!$C$18/30,0))*(1-Assumptions!$C$19),0)</f>
      </c>
      <c r="AC13" s="20">
        <f>IFERROR(INDEX($B5:$AK5,1,28-ROUND(Assumptions!$C$18/30,0))*(1-Assumptions!$C$19),0)</f>
      </c>
      <c r="AD13" s="20">
        <f>IFERROR(INDEX($B5:$AK5,1,29-ROUND(Assumptions!$C$18/30,0))*(1-Assumptions!$C$19),0)</f>
      </c>
      <c r="AE13" s="20">
        <f>IFERROR(INDEX($B5:$AK5,1,30-ROUND(Assumptions!$C$18/30,0))*(1-Assumptions!$C$19),0)</f>
      </c>
      <c r="AF13" s="20">
        <f>IFERROR(INDEX($B5:$AK5,1,31-ROUND(Assumptions!$C$18/30,0))*(1-Assumptions!$C$19),0)</f>
      </c>
      <c r="AG13" s="20">
        <f>IFERROR(INDEX($B5:$AK5,1,32-ROUND(Assumptions!$C$18/30,0))*(1-Assumptions!$C$19),0)</f>
      </c>
      <c r="AH13" s="20">
        <f>IFERROR(INDEX($B5:$AK5,1,33-ROUND(Assumptions!$C$18/30,0))*(1-Assumptions!$C$19),0)</f>
      </c>
      <c r="AI13" s="20">
        <f>IFERROR(INDEX($B5:$AK5,1,34-ROUND(Assumptions!$C$18/30,0))*(1-Assumptions!$C$19),0)</f>
      </c>
      <c r="AJ13" s="20">
        <f>IFERROR(INDEX($B5:$AK5,1,35-ROUND(Assumptions!$C$18/30,0))*(1-Assumptions!$C$19),0)</f>
      </c>
      <c r="AK13" s="20">
        <f>IFERROR(INDEX($B5:$AK5,1,36-ROUND(Assumptions!$C$18/30,0))*(1-Assumptions!$C$19),0)</f>
      </c>
    </row>
    <row r="14" spans="1:37" x14ac:dyDescent="0.25">
      <c r="A14" s="19" t="s">
        <v>73</v>
      </c>
      <c r="B14" s="20">
        <f>B13*Assumptions!$C$34</f>
      </c>
      <c r="C14" s="20">
        <f>C13*Assumptions!$C$34</f>
      </c>
      <c r="D14" s="20">
        <f>D13*Assumptions!$C$34</f>
      </c>
      <c r="E14" s="20">
        <f>E13*Assumptions!$C$34</f>
      </c>
      <c r="F14" s="20">
        <f>F13*Assumptions!$C$34</f>
      </c>
      <c r="G14" s="20">
        <f>G13*Assumptions!$C$34</f>
      </c>
      <c r="H14" s="20">
        <f>H13*Assumptions!$C$34</f>
      </c>
      <c r="I14" s="20">
        <f>I13*Assumptions!$C$34</f>
      </c>
      <c r="J14" s="20">
        <f>J13*Assumptions!$C$34</f>
      </c>
      <c r="K14" s="20">
        <f>K13*Assumptions!$C$34</f>
      </c>
      <c r="L14" s="20">
        <f>L13*Assumptions!$C$34</f>
      </c>
      <c r="M14" s="20">
        <f>M13*Assumptions!$C$34</f>
      </c>
      <c r="N14" s="20">
        <f>N13*Assumptions!$C$34</f>
      </c>
      <c r="O14" s="20">
        <f>O13*Assumptions!$C$34</f>
      </c>
      <c r="P14" s="20">
        <f>P13*Assumptions!$C$34</f>
      </c>
      <c r="Q14" s="20">
        <f>Q13*Assumptions!$C$34</f>
      </c>
      <c r="R14" s="20">
        <f>R13*Assumptions!$C$34</f>
      </c>
      <c r="S14" s="20">
        <f>S13*Assumptions!$C$34</f>
      </c>
      <c r="T14" s="20">
        <f>T13*Assumptions!$C$34</f>
      </c>
      <c r="U14" s="20">
        <f>U13*Assumptions!$C$34</f>
      </c>
      <c r="V14" s="20">
        <f>V13*Assumptions!$C$34</f>
      </c>
      <c r="W14" s="20">
        <f>W13*Assumptions!$C$34</f>
      </c>
      <c r="X14" s="20">
        <f>X13*Assumptions!$C$34</f>
      </c>
      <c r="Y14" s="20">
        <f>Y13*Assumptions!$C$34</f>
      </c>
      <c r="Z14" s="20">
        <f>Z13*Assumptions!$C$34</f>
      </c>
      <c r="AA14" s="20">
        <f>AA13*Assumptions!$C$34</f>
      </c>
      <c r="AB14" s="20">
        <f>AB13*Assumptions!$C$34</f>
      </c>
      <c r="AC14" s="20">
        <f>AC13*Assumptions!$C$34</f>
      </c>
      <c r="AD14" s="20">
        <f>AD13*Assumptions!$C$34</f>
      </c>
      <c r="AE14" s="20">
        <f>AE13*Assumptions!$C$34</f>
      </c>
      <c r="AF14" s="20">
        <f>AF13*Assumptions!$C$34</f>
      </c>
      <c r="AG14" s="20">
        <f>AG13*Assumptions!$C$34</f>
      </c>
      <c r="AH14" s="20">
        <f>AH13*Assumptions!$C$34</f>
      </c>
      <c r="AI14" s="20">
        <f>AI13*Assumptions!$C$34</f>
      </c>
      <c r="AJ14" s="20">
        <f>AJ13*Assumptions!$C$34</f>
      </c>
      <c r="AK14" s="20">
        <f>AK13*Assumptions!$C$34</f>
      </c>
    </row>
    <row r="15" spans="1:37" x14ac:dyDescent="0.25">
      <c r="A15" s="19" t="s">
        <v>74</v>
      </c>
      <c r="B15" s="20">
        <f>Assumptions!$C$38</f>
      </c>
      <c r="C15" s="20">
        <f>0</f>
      </c>
      <c r="D15" s="20">
        <f>0</f>
      </c>
      <c r="E15" s="20">
        <f>0</f>
      </c>
      <c r="F15" s="20">
        <f>0</f>
      </c>
      <c r="G15" s="20">
        <f>0</f>
      </c>
      <c r="H15" s="20">
        <f>0</f>
      </c>
      <c r="I15" s="20">
        <f>0</f>
      </c>
      <c r="J15" s="20">
        <f>0</f>
      </c>
      <c r="K15" s="20">
        <f>0</f>
      </c>
      <c r="L15" s="20">
        <f>0</f>
      </c>
      <c r="M15" s="20">
        <f>0</f>
      </c>
      <c r="N15" s="20">
        <f>0</f>
      </c>
      <c r="O15" s="20">
        <f>0</f>
      </c>
      <c r="P15" s="20">
        <f>0</f>
      </c>
      <c r="Q15" s="20">
        <f>0</f>
      </c>
      <c r="R15" s="20">
        <f>0</f>
      </c>
      <c r="S15" s="20">
        <f>0</f>
      </c>
      <c r="T15" s="20">
        <f>0</f>
      </c>
      <c r="U15" s="20">
        <f>0</f>
      </c>
      <c r="V15" s="20">
        <f>0</f>
      </c>
      <c r="W15" s="20">
        <f>0</f>
      </c>
      <c r="X15" s="20">
        <f>0</f>
      </c>
      <c r="Y15" s="20">
        <f>0</f>
      </c>
      <c r="Z15" s="20">
        <f>0</f>
      </c>
      <c r="AA15" s="20">
        <f>0</f>
      </c>
      <c r="AB15" s="20">
        <f>0</f>
      </c>
      <c r="AC15" s="20">
        <f>0</f>
      </c>
      <c r="AD15" s="20">
        <f>0</f>
      </c>
      <c r="AE15" s="20">
        <f>0</f>
      </c>
      <c r="AF15" s="20">
        <f>0</f>
      </c>
      <c r="AG15" s="20">
        <f>0</f>
      </c>
      <c r="AH15" s="20">
        <f>0</f>
      </c>
      <c r="AI15" s="20">
        <f>0</f>
      </c>
      <c r="AJ15" s="20">
        <f>0</f>
      </c>
      <c r="AK15" s="20">
        <f>0</f>
      </c>
    </row>
    <row r="16" spans="1:37" x14ac:dyDescent="0.25">
      <c r="A16" s="21" t="s">
        <v>75</v>
      </c>
      <c r="B16" s="22">
        <f>B13+B14+B15</f>
      </c>
      <c r="C16" s="22">
        <f>C13+C14+C15</f>
      </c>
      <c r="D16" s="22">
        <f>D13+D14+D15</f>
      </c>
      <c r="E16" s="22">
        <f>E13+E14+E15</f>
      </c>
      <c r="F16" s="22">
        <f>F13+F14+F15</f>
      </c>
      <c r="G16" s="22">
        <f>G13+G14+G15</f>
      </c>
      <c r="H16" s="22">
        <f>H13+H14+H15</f>
      </c>
      <c r="I16" s="22">
        <f>I13+I14+I15</f>
      </c>
      <c r="J16" s="22">
        <f>J13+J14+J15</f>
      </c>
      <c r="K16" s="22">
        <f>K13+K14+K15</f>
      </c>
      <c r="L16" s="22">
        <f>L13+L14+L15</f>
      </c>
      <c r="M16" s="22">
        <f>M13+M14+M15</f>
      </c>
      <c r="N16" s="22">
        <f>N13+N14+N15</f>
      </c>
      <c r="O16" s="22">
        <f>O13+O14+O15</f>
      </c>
      <c r="P16" s="22">
        <f>P13+P14+P15</f>
      </c>
      <c r="Q16" s="22">
        <f>Q13+Q14+Q15</f>
      </c>
      <c r="R16" s="22">
        <f>R13+R14+R15</f>
      </c>
      <c r="S16" s="22">
        <f>S13+S14+S15</f>
      </c>
      <c r="T16" s="22">
        <f>T13+T14+T15</f>
      </c>
      <c r="U16" s="22">
        <f>U13+U14+U15</f>
      </c>
      <c r="V16" s="22">
        <f>V13+V14+V15</f>
      </c>
      <c r="W16" s="22">
        <f>W13+W14+W15</f>
      </c>
      <c r="X16" s="22">
        <f>X13+X14+X15</f>
      </c>
      <c r="Y16" s="22">
        <f>Y13+Y14+Y15</f>
      </c>
      <c r="Z16" s="22">
        <f>Z13+Z14+Z15</f>
      </c>
      <c r="AA16" s="22">
        <f>AA13+AA14+AA15</f>
      </c>
      <c r="AB16" s="22">
        <f>AB13+AB14+AB15</f>
      </c>
      <c r="AC16" s="22">
        <f>AC13+AC14+AC15</f>
      </c>
      <c r="AD16" s="22">
        <f>AD13+AD14+AD15</f>
      </c>
      <c r="AE16" s="22">
        <f>AE13+AE14+AE15</f>
      </c>
      <c r="AF16" s="22">
        <f>AF13+AF14+AF15</f>
      </c>
      <c r="AG16" s="22">
        <f>AG13+AG14+AG15</f>
      </c>
      <c r="AH16" s="22">
        <f>AH13+AH14+AH15</f>
      </c>
      <c r="AI16" s="22">
        <f>AI13+AI14+AI15</f>
      </c>
      <c r="AJ16" s="22">
        <f>AJ13+AJ14+AJ15</f>
      </c>
      <c r="AK16" s="22">
        <f>AK13+AK14+AK15</f>
      </c>
    </row>
    <row r="18" spans="1:1" x14ac:dyDescent="0.25">
      <c r="A18" s="18" t="s">
        <v>76</v>
      </c>
    </row>
    <row r="19" spans="1:37" x14ac:dyDescent="0.25">
      <c r="A19" s="19" t="s">
        <v>42</v>
      </c>
      <c r="B19" s="20">
        <f>Assumptions!$C$21</f>
      </c>
      <c r="C19" s="20">
        <f>Assumptions!$C$21</f>
      </c>
      <c r="D19" s="20">
        <f>Assumptions!$C$21</f>
      </c>
      <c r="E19" s="20">
        <f>Assumptions!$C$21</f>
      </c>
      <c r="F19" s="20">
        <f>Assumptions!$C$21</f>
      </c>
      <c r="G19" s="20">
        <f>Assumptions!$C$21</f>
      </c>
      <c r="H19" s="20">
        <f>Assumptions!$C$21</f>
      </c>
      <c r="I19" s="20">
        <f>Assumptions!$C$21</f>
      </c>
      <c r="J19" s="20">
        <f>Assumptions!$C$21</f>
      </c>
      <c r="K19" s="20">
        <f>Assumptions!$C$21</f>
      </c>
      <c r="L19" s="20">
        <f>Assumptions!$C$21</f>
      </c>
      <c r="M19" s="20">
        <f>Assumptions!$C$21</f>
      </c>
      <c r="N19" s="20">
        <f>Assumptions!$C$21</f>
      </c>
      <c r="O19" s="20">
        <f>Assumptions!$C$21</f>
      </c>
      <c r="P19" s="20">
        <f>Assumptions!$C$21</f>
      </c>
      <c r="Q19" s="20">
        <f>Assumptions!$C$21</f>
      </c>
      <c r="R19" s="20">
        <f>Assumptions!$C$21</f>
      </c>
      <c r="S19" s="20">
        <f>Assumptions!$C$21</f>
      </c>
      <c r="T19" s="20">
        <f>Assumptions!$C$21</f>
      </c>
      <c r="U19" s="20">
        <f>Assumptions!$C$21</f>
      </c>
      <c r="V19" s="20">
        <f>Assumptions!$C$21</f>
      </c>
      <c r="W19" s="20">
        <f>Assumptions!$C$21</f>
      </c>
      <c r="X19" s="20">
        <f>Assumptions!$C$21</f>
      </c>
      <c r="Y19" s="20">
        <f>Assumptions!$C$21</f>
      </c>
      <c r="Z19" s="20">
        <f>Assumptions!$C$21</f>
      </c>
      <c r="AA19" s="20">
        <f>Assumptions!$C$21</f>
      </c>
      <c r="AB19" s="20">
        <f>Assumptions!$C$21</f>
      </c>
      <c r="AC19" s="20">
        <f>Assumptions!$C$21</f>
      </c>
      <c r="AD19" s="20">
        <f>Assumptions!$C$21</f>
      </c>
      <c r="AE19" s="20">
        <f>Assumptions!$C$21</f>
      </c>
      <c r="AF19" s="20">
        <f>Assumptions!$C$21</f>
      </c>
      <c r="AG19" s="20">
        <f>Assumptions!$C$21</f>
      </c>
      <c r="AH19" s="20">
        <f>Assumptions!$C$21</f>
      </c>
      <c r="AI19" s="20">
        <f>Assumptions!$C$21</f>
      </c>
      <c r="AJ19" s="20">
        <f>Assumptions!$C$21</f>
      </c>
      <c r="AK19" s="20">
        <f>Assumptions!$C$21</f>
      </c>
    </row>
    <row r="20" spans="1:37" x14ac:dyDescent="0.25">
      <c r="A20" s="19" t="s">
        <v>44</v>
      </c>
      <c r="B20" s="20">
        <f>Assumptions!$C$22</f>
      </c>
      <c r="C20" s="20">
        <f>Assumptions!$C$22</f>
      </c>
      <c r="D20" s="20">
        <f>Assumptions!$C$22</f>
      </c>
      <c r="E20" s="20">
        <f>Assumptions!$C$22</f>
      </c>
      <c r="F20" s="20">
        <f>Assumptions!$C$22</f>
      </c>
      <c r="G20" s="20">
        <f>Assumptions!$C$22</f>
      </c>
      <c r="H20" s="20">
        <f>Assumptions!$C$22</f>
      </c>
      <c r="I20" s="20">
        <f>Assumptions!$C$22</f>
      </c>
      <c r="J20" s="20">
        <f>Assumptions!$C$22</f>
      </c>
      <c r="K20" s="20">
        <f>Assumptions!$C$22</f>
      </c>
      <c r="L20" s="20">
        <f>Assumptions!$C$22</f>
      </c>
      <c r="M20" s="20">
        <f>Assumptions!$C$22</f>
      </c>
      <c r="N20" s="20">
        <f>Assumptions!$C$22</f>
      </c>
      <c r="O20" s="20">
        <f>Assumptions!$C$22</f>
      </c>
      <c r="P20" s="20">
        <f>Assumptions!$C$22</f>
      </c>
      <c r="Q20" s="20">
        <f>Assumptions!$C$22</f>
      </c>
      <c r="R20" s="20">
        <f>Assumptions!$C$22</f>
      </c>
      <c r="S20" s="20">
        <f>Assumptions!$C$22</f>
      </c>
      <c r="T20" s="20">
        <f>Assumptions!$C$22</f>
      </c>
      <c r="U20" s="20">
        <f>Assumptions!$C$22</f>
      </c>
      <c r="V20" s="20">
        <f>Assumptions!$C$22</f>
      </c>
      <c r="W20" s="20">
        <f>Assumptions!$C$22</f>
      </c>
      <c r="X20" s="20">
        <f>Assumptions!$C$22</f>
      </c>
      <c r="Y20" s="20">
        <f>Assumptions!$C$22</f>
      </c>
      <c r="Z20" s="20">
        <f>Assumptions!$C$22</f>
      </c>
      <c r="AA20" s="20">
        <f>Assumptions!$C$22</f>
      </c>
      <c r="AB20" s="20">
        <f>Assumptions!$C$22</f>
      </c>
      <c r="AC20" s="20">
        <f>Assumptions!$C$22</f>
      </c>
      <c r="AD20" s="20">
        <f>Assumptions!$C$22</f>
      </c>
      <c r="AE20" s="20">
        <f>Assumptions!$C$22</f>
      </c>
      <c r="AF20" s="20">
        <f>Assumptions!$C$22</f>
      </c>
      <c r="AG20" s="20">
        <f>Assumptions!$C$22</f>
      </c>
      <c r="AH20" s="20">
        <f>Assumptions!$C$22</f>
      </c>
      <c r="AI20" s="20">
        <f>Assumptions!$C$22</f>
      </c>
      <c r="AJ20" s="20">
        <f>Assumptions!$C$22</f>
      </c>
      <c r="AK20" s="20">
        <f>Assumptions!$C$22</f>
      </c>
    </row>
    <row r="21" spans="1:37" x14ac:dyDescent="0.25">
      <c r="A21" s="19" t="s">
        <v>77</v>
      </c>
      <c r="B21" s="20">
        <f>Assumptions!$C$23</f>
      </c>
      <c r="C21" s="20">
        <f>Assumptions!$C$23</f>
      </c>
      <c r="D21" s="20">
        <f>Assumptions!$C$23</f>
      </c>
      <c r="E21" s="20">
        <f>Assumptions!$C$23</f>
      </c>
      <c r="F21" s="20">
        <f>Assumptions!$C$23</f>
      </c>
      <c r="G21" s="20">
        <f>Assumptions!$C$23</f>
      </c>
      <c r="H21" s="20">
        <f>Assumptions!$C$23</f>
      </c>
      <c r="I21" s="20">
        <f>Assumptions!$C$23</f>
      </c>
      <c r="J21" s="20">
        <f>Assumptions!$C$23</f>
      </c>
      <c r="K21" s="20">
        <f>Assumptions!$C$23</f>
      </c>
      <c r="L21" s="20">
        <f>Assumptions!$C$23</f>
      </c>
      <c r="M21" s="20">
        <f>Assumptions!$C$23</f>
      </c>
      <c r="N21" s="20">
        <f>Assumptions!$C$23</f>
      </c>
      <c r="O21" s="20">
        <f>Assumptions!$C$23</f>
      </c>
      <c r="P21" s="20">
        <f>Assumptions!$C$23</f>
      </c>
      <c r="Q21" s="20">
        <f>Assumptions!$C$23</f>
      </c>
      <c r="R21" s="20">
        <f>Assumptions!$C$23</f>
      </c>
      <c r="S21" s="20">
        <f>Assumptions!$C$23</f>
      </c>
      <c r="T21" s="20">
        <f>Assumptions!$C$23</f>
      </c>
      <c r="U21" s="20">
        <f>Assumptions!$C$23</f>
      </c>
      <c r="V21" s="20">
        <f>Assumptions!$C$23</f>
      </c>
      <c r="W21" s="20">
        <f>Assumptions!$C$23</f>
      </c>
      <c r="X21" s="20">
        <f>Assumptions!$C$23</f>
      </c>
      <c r="Y21" s="20">
        <f>Assumptions!$C$23</f>
      </c>
      <c r="Z21" s="20">
        <f>Assumptions!$C$23</f>
      </c>
      <c r="AA21" s="20">
        <f>Assumptions!$C$23</f>
      </c>
      <c r="AB21" s="20">
        <f>Assumptions!$C$23</f>
      </c>
      <c r="AC21" s="20">
        <f>Assumptions!$C$23</f>
      </c>
      <c r="AD21" s="20">
        <f>Assumptions!$C$23</f>
      </c>
      <c r="AE21" s="20">
        <f>Assumptions!$C$23</f>
      </c>
      <c r="AF21" s="20">
        <f>Assumptions!$C$23</f>
      </c>
      <c r="AG21" s="20">
        <f>Assumptions!$C$23</f>
      </c>
      <c r="AH21" s="20">
        <f>Assumptions!$C$23</f>
      </c>
      <c r="AI21" s="20">
        <f>Assumptions!$C$23</f>
      </c>
      <c r="AJ21" s="20">
        <f>Assumptions!$C$23</f>
      </c>
      <c r="AK21" s="20">
        <f>Assumptions!$C$23</f>
      </c>
    </row>
    <row r="22" spans="1:37" x14ac:dyDescent="0.25">
      <c r="A22" s="19" t="s">
        <v>46</v>
      </c>
      <c r="B22" s="20">
        <f>Assumptions!$C$24</f>
      </c>
      <c r="C22" s="20">
        <f>Assumptions!$C$24</f>
      </c>
      <c r="D22" s="20">
        <f>Assumptions!$C$24</f>
      </c>
      <c r="E22" s="20">
        <f>Assumptions!$C$24</f>
      </c>
      <c r="F22" s="20">
        <f>Assumptions!$C$24</f>
      </c>
      <c r="G22" s="20">
        <f>Assumptions!$C$24</f>
      </c>
      <c r="H22" s="20">
        <f>Assumptions!$C$24</f>
      </c>
      <c r="I22" s="20">
        <f>Assumptions!$C$24</f>
      </c>
      <c r="J22" s="20">
        <f>Assumptions!$C$24</f>
      </c>
      <c r="K22" s="20">
        <f>Assumptions!$C$24</f>
      </c>
      <c r="L22" s="20">
        <f>Assumptions!$C$24</f>
      </c>
      <c r="M22" s="20">
        <f>Assumptions!$C$24</f>
      </c>
      <c r="N22" s="20">
        <f>Assumptions!$C$24</f>
      </c>
      <c r="O22" s="20">
        <f>Assumptions!$C$24</f>
      </c>
      <c r="P22" s="20">
        <f>Assumptions!$C$24</f>
      </c>
      <c r="Q22" s="20">
        <f>Assumptions!$C$24</f>
      </c>
      <c r="R22" s="20">
        <f>Assumptions!$C$24</f>
      </c>
      <c r="S22" s="20">
        <f>Assumptions!$C$24</f>
      </c>
      <c r="T22" s="20">
        <f>Assumptions!$C$24</f>
      </c>
      <c r="U22" s="20">
        <f>Assumptions!$C$24</f>
      </c>
      <c r="V22" s="20">
        <f>Assumptions!$C$24</f>
      </c>
      <c r="W22" s="20">
        <f>Assumptions!$C$24</f>
      </c>
      <c r="X22" s="20">
        <f>Assumptions!$C$24</f>
      </c>
      <c r="Y22" s="20">
        <f>Assumptions!$C$24</f>
      </c>
      <c r="Z22" s="20">
        <f>Assumptions!$C$24</f>
      </c>
      <c r="AA22" s="20">
        <f>Assumptions!$C$24</f>
      </c>
      <c r="AB22" s="20">
        <f>Assumptions!$C$24</f>
      </c>
      <c r="AC22" s="20">
        <f>Assumptions!$C$24</f>
      </c>
      <c r="AD22" s="20">
        <f>Assumptions!$C$24</f>
      </c>
      <c r="AE22" s="20">
        <f>Assumptions!$C$24</f>
      </c>
      <c r="AF22" s="20">
        <f>Assumptions!$C$24</f>
      </c>
      <c r="AG22" s="20">
        <f>Assumptions!$C$24</f>
      </c>
      <c r="AH22" s="20">
        <f>Assumptions!$C$24</f>
      </c>
      <c r="AI22" s="20">
        <f>Assumptions!$C$24</f>
      </c>
      <c r="AJ22" s="20">
        <f>Assumptions!$C$24</f>
      </c>
      <c r="AK22" s="20">
        <f>Assumptions!$C$24</f>
      </c>
    </row>
    <row r="23" spans="1:37" x14ac:dyDescent="0.25">
      <c r="A23" s="19" t="s">
        <v>47</v>
      </c>
      <c r="B23" s="20">
        <f>Assumptions!$C$25</f>
      </c>
      <c r="C23" s="20">
        <f>Assumptions!$C$25</f>
      </c>
      <c r="D23" s="20">
        <f>Assumptions!$C$25</f>
      </c>
      <c r="E23" s="20">
        <f>Assumptions!$C$25</f>
      </c>
      <c r="F23" s="20">
        <f>Assumptions!$C$25</f>
      </c>
      <c r="G23" s="20">
        <f>Assumptions!$C$25</f>
      </c>
      <c r="H23" s="20">
        <f>Assumptions!$C$25</f>
      </c>
      <c r="I23" s="20">
        <f>Assumptions!$C$25</f>
      </c>
      <c r="J23" s="20">
        <f>Assumptions!$C$25</f>
      </c>
      <c r="K23" s="20">
        <f>Assumptions!$C$25</f>
      </c>
      <c r="L23" s="20">
        <f>Assumptions!$C$25</f>
      </c>
      <c r="M23" s="20">
        <f>Assumptions!$C$25</f>
      </c>
      <c r="N23" s="20">
        <f>Assumptions!$C$25</f>
      </c>
      <c r="O23" s="20">
        <f>Assumptions!$C$25</f>
      </c>
      <c r="P23" s="20">
        <f>Assumptions!$C$25</f>
      </c>
      <c r="Q23" s="20">
        <f>Assumptions!$C$25</f>
      </c>
      <c r="R23" s="20">
        <f>Assumptions!$C$25</f>
      </c>
      <c r="S23" s="20">
        <f>Assumptions!$C$25</f>
      </c>
      <c r="T23" s="20">
        <f>Assumptions!$C$25</f>
      </c>
      <c r="U23" s="20">
        <f>Assumptions!$C$25</f>
      </c>
      <c r="V23" s="20">
        <f>Assumptions!$C$25</f>
      </c>
      <c r="W23" s="20">
        <f>Assumptions!$C$25</f>
      </c>
      <c r="X23" s="20">
        <f>Assumptions!$C$25</f>
      </c>
      <c r="Y23" s="20">
        <f>Assumptions!$C$25</f>
      </c>
      <c r="Z23" s="20">
        <f>Assumptions!$C$25</f>
      </c>
      <c r="AA23" s="20">
        <f>Assumptions!$C$25</f>
      </c>
      <c r="AB23" s="20">
        <f>Assumptions!$C$25</f>
      </c>
      <c r="AC23" s="20">
        <f>Assumptions!$C$25</f>
      </c>
      <c r="AD23" s="20">
        <f>Assumptions!$C$25</f>
      </c>
      <c r="AE23" s="20">
        <f>Assumptions!$C$25</f>
      </c>
      <c r="AF23" s="20">
        <f>Assumptions!$C$25</f>
      </c>
      <c r="AG23" s="20">
        <f>Assumptions!$C$25</f>
      </c>
      <c r="AH23" s="20">
        <f>Assumptions!$C$25</f>
      </c>
      <c r="AI23" s="20">
        <f>Assumptions!$C$25</f>
      </c>
      <c r="AJ23" s="20">
        <f>Assumptions!$C$25</f>
      </c>
      <c r="AK23" s="20">
        <f>Assumptions!$C$25</f>
      </c>
    </row>
    <row r="24" spans="1:37" x14ac:dyDescent="0.25">
      <c r="A24" s="19" t="s">
        <v>48</v>
      </c>
      <c r="B24" s="20">
        <f>Assumptions!$C$26</f>
      </c>
      <c r="C24" s="20">
        <f>Assumptions!$C$26</f>
      </c>
      <c r="D24" s="20">
        <f>Assumptions!$C$26</f>
      </c>
      <c r="E24" s="20">
        <f>Assumptions!$C$26</f>
      </c>
      <c r="F24" s="20">
        <f>Assumptions!$C$26</f>
      </c>
      <c r="G24" s="20">
        <f>Assumptions!$C$26</f>
      </c>
      <c r="H24" s="20">
        <f>Assumptions!$C$26</f>
      </c>
      <c r="I24" s="20">
        <f>Assumptions!$C$26</f>
      </c>
      <c r="J24" s="20">
        <f>Assumptions!$C$26</f>
      </c>
      <c r="K24" s="20">
        <f>Assumptions!$C$26</f>
      </c>
      <c r="L24" s="20">
        <f>Assumptions!$C$26</f>
      </c>
      <c r="M24" s="20">
        <f>Assumptions!$C$26</f>
      </c>
      <c r="N24" s="20">
        <f>Assumptions!$C$26</f>
      </c>
      <c r="O24" s="20">
        <f>Assumptions!$C$26</f>
      </c>
      <c r="P24" s="20">
        <f>Assumptions!$C$26</f>
      </c>
      <c r="Q24" s="20">
        <f>Assumptions!$C$26</f>
      </c>
      <c r="R24" s="20">
        <f>Assumptions!$C$26</f>
      </c>
      <c r="S24" s="20">
        <f>Assumptions!$C$26</f>
      </c>
      <c r="T24" s="20">
        <f>Assumptions!$C$26</f>
      </c>
      <c r="U24" s="20">
        <f>Assumptions!$C$26</f>
      </c>
      <c r="V24" s="20">
        <f>Assumptions!$C$26</f>
      </c>
      <c r="W24" s="20">
        <f>Assumptions!$C$26</f>
      </c>
      <c r="X24" s="20">
        <f>Assumptions!$C$26</f>
      </c>
      <c r="Y24" s="20">
        <f>Assumptions!$C$26</f>
      </c>
      <c r="Z24" s="20">
        <f>Assumptions!$C$26</f>
      </c>
      <c r="AA24" s="20">
        <f>Assumptions!$C$26</f>
      </c>
      <c r="AB24" s="20">
        <f>Assumptions!$C$26</f>
      </c>
      <c r="AC24" s="20">
        <f>Assumptions!$C$26</f>
      </c>
      <c r="AD24" s="20">
        <f>Assumptions!$C$26</f>
      </c>
      <c r="AE24" s="20">
        <f>Assumptions!$C$26</f>
      </c>
      <c r="AF24" s="20">
        <f>Assumptions!$C$26</f>
      </c>
      <c r="AG24" s="20">
        <f>Assumptions!$C$26</f>
      </c>
      <c r="AH24" s="20">
        <f>Assumptions!$C$26</f>
      </c>
      <c r="AI24" s="20">
        <f>Assumptions!$C$26</f>
      </c>
      <c r="AJ24" s="20">
        <f>Assumptions!$C$26</f>
      </c>
      <c r="AK24" s="20">
        <f>Assumptions!$C$26</f>
      </c>
    </row>
    <row r="25" spans="1:37" x14ac:dyDescent="0.25">
      <c r="A25" s="19" t="s">
        <v>49</v>
      </c>
      <c r="B25" s="20">
        <f>Assumptions!$C$27</f>
      </c>
      <c r="C25" s="20">
        <f>Assumptions!$C$27</f>
      </c>
      <c r="D25" s="20">
        <f>Assumptions!$C$27</f>
      </c>
      <c r="E25" s="20">
        <f>Assumptions!$C$27</f>
      </c>
      <c r="F25" s="20">
        <f>Assumptions!$C$27</f>
      </c>
      <c r="G25" s="20">
        <f>Assumptions!$C$27</f>
      </c>
      <c r="H25" s="20">
        <f>Assumptions!$C$27</f>
      </c>
      <c r="I25" s="20">
        <f>Assumptions!$C$27</f>
      </c>
      <c r="J25" s="20">
        <f>Assumptions!$C$27</f>
      </c>
      <c r="K25" s="20">
        <f>Assumptions!$C$27</f>
      </c>
      <c r="L25" s="20">
        <f>Assumptions!$C$27</f>
      </c>
      <c r="M25" s="20">
        <f>Assumptions!$C$27</f>
      </c>
      <c r="N25" s="20">
        <f>Assumptions!$C$27</f>
      </c>
      <c r="O25" s="20">
        <f>Assumptions!$C$27</f>
      </c>
      <c r="P25" s="20">
        <f>Assumptions!$C$27</f>
      </c>
      <c r="Q25" s="20">
        <f>Assumptions!$C$27</f>
      </c>
      <c r="R25" s="20">
        <f>Assumptions!$C$27</f>
      </c>
      <c r="S25" s="20">
        <f>Assumptions!$C$27</f>
      </c>
      <c r="T25" s="20">
        <f>Assumptions!$C$27</f>
      </c>
      <c r="U25" s="20">
        <f>Assumptions!$C$27</f>
      </c>
      <c r="V25" s="20">
        <f>Assumptions!$C$27</f>
      </c>
      <c r="W25" s="20">
        <f>Assumptions!$C$27</f>
      </c>
      <c r="X25" s="20">
        <f>Assumptions!$C$27</f>
      </c>
      <c r="Y25" s="20">
        <f>Assumptions!$C$27</f>
      </c>
      <c r="Z25" s="20">
        <f>Assumptions!$C$27</f>
      </c>
      <c r="AA25" s="20">
        <f>Assumptions!$C$27</f>
      </c>
      <c r="AB25" s="20">
        <f>Assumptions!$C$27</f>
      </c>
      <c r="AC25" s="20">
        <f>Assumptions!$C$27</f>
      </c>
      <c r="AD25" s="20">
        <f>Assumptions!$C$27</f>
      </c>
      <c r="AE25" s="20">
        <f>Assumptions!$C$27</f>
      </c>
      <c r="AF25" s="20">
        <f>Assumptions!$C$27</f>
      </c>
      <c r="AG25" s="20">
        <f>Assumptions!$C$27</f>
      </c>
      <c r="AH25" s="20">
        <f>Assumptions!$C$27</f>
      </c>
      <c r="AI25" s="20">
        <f>Assumptions!$C$27</f>
      </c>
      <c r="AJ25" s="20">
        <f>Assumptions!$C$27</f>
      </c>
      <c r="AK25" s="20">
        <f>Assumptions!$C$27</f>
      </c>
    </row>
    <row r="26" spans="1:37" x14ac:dyDescent="0.25">
      <c r="A26" s="19" t="s">
        <v>78</v>
      </c>
      <c r="B26" s="20">
        <f>Assumptions!$C$28</f>
      </c>
      <c r="C26" s="20">
        <f>Assumptions!$C$28</f>
      </c>
      <c r="D26" s="20">
        <f>Assumptions!$C$28</f>
      </c>
      <c r="E26" s="20">
        <f>Assumptions!$C$28</f>
      </c>
      <c r="F26" s="20">
        <f>Assumptions!$C$28</f>
      </c>
      <c r="G26" s="20">
        <f>Assumptions!$C$28</f>
      </c>
      <c r="H26" s="20">
        <f>Assumptions!$C$28</f>
      </c>
      <c r="I26" s="20">
        <f>Assumptions!$C$28</f>
      </c>
      <c r="J26" s="20">
        <f>Assumptions!$C$28</f>
      </c>
      <c r="K26" s="20">
        <f>Assumptions!$C$28</f>
      </c>
      <c r="L26" s="20">
        <f>Assumptions!$C$28</f>
      </c>
      <c r="M26" s="20">
        <f>Assumptions!$C$28</f>
      </c>
      <c r="N26" s="20">
        <f>Assumptions!$C$28</f>
      </c>
      <c r="O26" s="20">
        <f>Assumptions!$C$28</f>
      </c>
      <c r="P26" s="20">
        <f>Assumptions!$C$28</f>
      </c>
      <c r="Q26" s="20">
        <f>Assumptions!$C$28</f>
      </c>
      <c r="R26" s="20">
        <f>Assumptions!$C$28</f>
      </c>
      <c r="S26" s="20">
        <f>Assumptions!$C$28</f>
      </c>
      <c r="T26" s="20">
        <f>Assumptions!$C$28</f>
      </c>
      <c r="U26" s="20">
        <f>Assumptions!$C$28</f>
      </c>
      <c r="V26" s="20">
        <f>Assumptions!$C$28</f>
      </c>
      <c r="W26" s="20">
        <f>Assumptions!$C$28</f>
      </c>
      <c r="X26" s="20">
        <f>Assumptions!$C$28</f>
      </c>
      <c r="Y26" s="20">
        <f>Assumptions!$C$28</f>
      </c>
      <c r="Z26" s="20">
        <f>Assumptions!$C$28</f>
      </c>
      <c r="AA26" s="20">
        <f>Assumptions!$C$28</f>
      </c>
      <c r="AB26" s="20">
        <f>Assumptions!$C$28</f>
      </c>
      <c r="AC26" s="20">
        <f>Assumptions!$C$28</f>
      </c>
      <c r="AD26" s="20">
        <f>Assumptions!$C$28</f>
      </c>
      <c r="AE26" s="20">
        <f>Assumptions!$C$28</f>
      </c>
      <c r="AF26" s="20">
        <f>Assumptions!$C$28</f>
      </c>
      <c r="AG26" s="20">
        <f>Assumptions!$C$28</f>
      </c>
      <c r="AH26" s="20">
        <f>Assumptions!$C$28</f>
      </c>
      <c r="AI26" s="20">
        <f>Assumptions!$C$28</f>
      </c>
      <c r="AJ26" s="20">
        <f>Assumptions!$C$28</f>
      </c>
      <c r="AK26" s="20">
        <f>Assumptions!$C$28</f>
      </c>
    </row>
    <row r="27" spans="1:37" x14ac:dyDescent="0.25">
      <c r="A27" s="19" t="s">
        <v>51</v>
      </c>
      <c r="B27" s="20">
        <f>Assumptions!$C$29</f>
      </c>
      <c r="C27" s="20">
        <f>Assumptions!$C$29</f>
      </c>
      <c r="D27" s="20">
        <f>Assumptions!$C$29</f>
      </c>
      <c r="E27" s="20">
        <f>Assumptions!$C$29</f>
      </c>
      <c r="F27" s="20">
        <f>Assumptions!$C$29</f>
      </c>
      <c r="G27" s="20">
        <f>Assumptions!$C$29</f>
      </c>
      <c r="H27" s="20">
        <f>Assumptions!$C$29</f>
      </c>
      <c r="I27" s="20">
        <f>Assumptions!$C$29</f>
      </c>
      <c r="J27" s="20">
        <f>Assumptions!$C$29</f>
      </c>
      <c r="K27" s="20">
        <f>Assumptions!$C$29</f>
      </c>
      <c r="L27" s="20">
        <f>Assumptions!$C$29</f>
      </c>
      <c r="M27" s="20">
        <f>Assumptions!$C$29</f>
      </c>
      <c r="N27" s="20">
        <f>Assumptions!$C$29</f>
      </c>
      <c r="O27" s="20">
        <f>Assumptions!$C$29</f>
      </c>
      <c r="P27" s="20">
        <f>Assumptions!$C$29</f>
      </c>
      <c r="Q27" s="20">
        <f>Assumptions!$C$29</f>
      </c>
      <c r="R27" s="20">
        <f>Assumptions!$C$29</f>
      </c>
      <c r="S27" s="20">
        <f>Assumptions!$C$29</f>
      </c>
      <c r="T27" s="20">
        <f>Assumptions!$C$29</f>
      </c>
      <c r="U27" s="20">
        <f>Assumptions!$C$29</f>
      </c>
      <c r="V27" s="20">
        <f>Assumptions!$C$29</f>
      </c>
      <c r="W27" s="20">
        <f>Assumptions!$C$29</f>
      </c>
      <c r="X27" s="20">
        <f>Assumptions!$C$29</f>
      </c>
      <c r="Y27" s="20">
        <f>Assumptions!$C$29</f>
      </c>
      <c r="Z27" s="20">
        <f>Assumptions!$C$29</f>
      </c>
      <c r="AA27" s="20">
        <f>Assumptions!$C$29</f>
      </c>
      <c r="AB27" s="20">
        <f>Assumptions!$C$29</f>
      </c>
      <c r="AC27" s="20">
        <f>Assumptions!$C$29</f>
      </c>
      <c r="AD27" s="20">
        <f>Assumptions!$C$29</f>
      </c>
      <c r="AE27" s="20">
        <f>Assumptions!$C$29</f>
      </c>
      <c r="AF27" s="20">
        <f>Assumptions!$C$29</f>
      </c>
      <c r="AG27" s="20">
        <f>Assumptions!$C$29</f>
      </c>
      <c r="AH27" s="20">
        <f>Assumptions!$C$29</f>
      </c>
      <c r="AI27" s="20">
        <f>Assumptions!$C$29</f>
      </c>
      <c r="AJ27" s="20">
        <f>Assumptions!$C$29</f>
      </c>
      <c r="AK27" s="20">
        <f>Assumptions!$C$29</f>
      </c>
    </row>
    <row r="28" spans="1:37" x14ac:dyDescent="0.25">
      <c r="A28" s="19" t="s">
        <v>79</v>
      </c>
      <c r="B28" s="20">
        <f>SUM(B19:B27)*Assumptions!$C$30</f>
      </c>
      <c r="C28" s="20">
        <f>SUM(C19:C27)*Assumptions!$C$30</f>
      </c>
      <c r="D28" s="20">
        <f>SUM(D19:D27)*Assumptions!$C$30</f>
      </c>
      <c r="E28" s="20">
        <f>SUM(E19:E27)*Assumptions!$C$30</f>
      </c>
      <c r="F28" s="20">
        <f>SUM(F19:F27)*Assumptions!$C$30</f>
      </c>
      <c r="G28" s="20">
        <f>SUM(G19:G27)*Assumptions!$C$30</f>
      </c>
      <c r="H28" s="20">
        <f>SUM(H19:H27)*Assumptions!$C$30</f>
      </c>
      <c r="I28" s="20">
        <f>SUM(I19:I27)*Assumptions!$C$30</f>
      </c>
      <c r="J28" s="20">
        <f>SUM(J19:J27)*Assumptions!$C$30</f>
      </c>
      <c r="K28" s="20">
        <f>SUM(K19:K27)*Assumptions!$C$30</f>
      </c>
      <c r="L28" s="20">
        <f>SUM(L19:L27)*Assumptions!$C$30</f>
      </c>
      <c r="M28" s="20">
        <f>SUM(M19:M27)*Assumptions!$C$30</f>
      </c>
      <c r="N28" s="20">
        <f>SUM(N19:N27)*Assumptions!$C$30</f>
      </c>
      <c r="O28" s="20">
        <f>SUM(O19:O27)*Assumptions!$C$30</f>
      </c>
      <c r="P28" s="20">
        <f>SUM(P19:P27)*Assumptions!$C$30</f>
      </c>
      <c r="Q28" s="20">
        <f>SUM(Q19:Q27)*Assumptions!$C$30</f>
      </c>
      <c r="R28" s="20">
        <f>SUM(R19:R27)*Assumptions!$C$30</f>
      </c>
      <c r="S28" s="20">
        <f>SUM(S19:S27)*Assumptions!$C$30</f>
      </c>
      <c r="T28" s="20">
        <f>SUM(T19:T27)*Assumptions!$C$30</f>
      </c>
      <c r="U28" s="20">
        <f>SUM(U19:U27)*Assumptions!$C$30</f>
      </c>
      <c r="V28" s="20">
        <f>SUM(V19:V27)*Assumptions!$C$30</f>
      </c>
      <c r="W28" s="20">
        <f>SUM(W19:W27)*Assumptions!$C$30</f>
      </c>
      <c r="X28" s="20">
        <f>SUM(X19:X27)*Assumptions!$C$30</f>
      </c>
      <c r="Y28" s="20">
        <f>SUM(Y19:Y27)*Assumptions!$C$30</f>
      </c>
      <c r="Z28" s="20">
        <f>SUM(Z19:Z27)*Assumptions!$C$30</f>
      </c>
      <c r="AA28" s="20">
        <f>SUM(AA19:AA27)*Assumptions!$C$30</f>
      </c>
      <c r="AB28" s="20">
        <f>SUM(AB19:AB27)*Assumptions!$C$30</f>
      </c>
      <c r="AC28" s="20">
        <f>SUM(AC19:AC27)*Assumptions!$C$30</f>
      </c>
      <c r="AD28" s="20">
        <f>SUM(AD19:AD27)*Assumptions!$C$30</f>
      </c>
      <c r="AE28" s="20">
        <f>SUM(AE19:AE27)*Assumptions!$C$30</f>
      </c>
      <c r="AF28" s="20">
        <f>SUM(AF19:AF27)*Assumptions!$C$30</f>
      </c>
      <c r="AG28" s="20">
        <f>SUM(AG19:AG27)*Assumptions!$C$30</f>
      </c>
      <c r="AH28" s="20">
        <f>SUM(AH19:AH27)*Assumptions!$C$30</f>
      </c>
      <c r="AI28" s="20">
        <f>SUM(AI19:AI27)*Assumptions!$C$30</f>
      </c>
      <c r="AJ28" s="20">
        <f>SUM(AJ19:AJ27)*Assumptions!$C$30</f>
      </c>
      <c r="AK28" s="20">
        <f>SUM(AK19:AK27)*Assumptions!$C$30</f>
      </c>
    </row>
    <row r="29" spans="1:37" x14ac:dyDescent="0.25">
      <c r="A29" s="24" t="s">
        <v>80</v>
      </c>
      <c r="B29" s="25">
        <f>SUM(B19:B28)</f>
      </c>
      <c r="C29" s="25">
        <f>SUM(C19:C28)</f>
      </c>
      <c r="D29" s="25">
        <f>SUM(D19:D28)</f>
      </c>
      <c r="E29" s="25">
        <f>SUM(E19:E28)</f>
      </c>
      <c r="F29" s="25">
        <f>SUM(F19:F28)</f>
      </c>
      <c r="G29" s="25">
        <f>SUM(G19:G28)</f>
      </c>
      <c r="H29" s="25">
        <f>SUM(H19:H28)</f>
      </c>
      <c r="I29" s="25">
        <f>SUM(I19:I28)</f>
      </c>
      <c r="J29" s="25">
        <f>SUM(J19:J28)</f>
      </c>
      <c r="K29" s="25">
        <f>SUM(K19:K28)</f>
      </c>
      <c r="L29" s="25">
        <f>SUM(L19:L28)</f>
      </c>
      <c r="M29" s="25">
        <f>SUM(M19:M28)</f>
      </c>
      <c r="N29" s="25">
        <f>SUM(N19:N28)</f>
      </c>
      <c r="O29" s="25">
        <f>SUM(O19:O28)</f>
      </c>
      <c r="P29" s="25">
        <f>SUM(P19:P28)</f>
      </c>
      <c r="Q29" s="25">
        <f>SUM(Q19:Q28)</f>
      </c>
      <c r="R29" s="25">
        <f>SUM(R19:R28)</f>
      </c>
      <c r="S29" s="25">
        <f>SUM(S19:S28)</f>
      </c>
      <c r="T29" s="25">
        <f>SUM(T19:T28)</f>
      </c>
      <c r="U29" s="25">
        <f>SUM(U19:U28)</f>
      </c>
      <c r="V29" s="25">
        <f>SUM(V19:V28)</f>
      </c>
      <c r="W29" s="25">
        <f>SUM(W19:W28)</f>
      </c>
      <c r="X29" s="25">
        <f>SUM(X19:X28)</f>
      </c>
      <c r="Y29" s="25">
        <f>SUM(Y19:Y28)</f>
      </c>
      <c r="Z29" s="25">
        <f>SUM(Z19:Z28)</f>
      </c>
      <c r="AA29" s="25">
        <f>SUM(AA19:AA28)</f>
      </c>
      <c r="AB29" s="25">
        <f>SUM(AB19:AB28)</f>
      </c>
      <c r="AC29" s="25">
        <f>SUM(AC19:AC28)</f>
      </c>
      <c r="AD29" s="25">
        <f>SUM(AD19:AD28)</f>
      </c>
      <c r="AE29" s="25">
        <f>SUM(AE19:AE28)</f>
      </c>
      <c r="AF29" s="25">
        <f>SUM(AF19:AF28)</f>
      </c>
      <c r="AG29" s="25">
        <f>SUM(AG19:AG28)</f>
      </c>
      <c r="AH29" s="25">
        <f>SUM(AH19:AH28)</f>
      </c>
      <c r="AI29" s="25">
        <f>SUM(AI19:AI28)</f>
      </c>
      <c r="AJ29" s="25">
        <f>SUM(AJ19:AJ28)</f>
      </c>
      <c r="AK29" s="25">
        <f>SUM(AK19:AK28)</f>
      </c>
    </row>
    <row r="30" spans="1:37" x14ac:dyDescent="0.25">
      <c r="A30" s="19" t="s">
        <v>81</v>
      </c>
      <c r="B30" s="20">
        <f>B29*Assumptions!$C$34*Assumptions!$C$35</f>
      </c>
      <c r="C30" s="20">
        <f>C29*Assumptions!$C$34*Assumptions!$C$35</f>
      </c>
      <c r="D30" s="20">
        <f>D29*Assumptions!$C$34*Assumptions!$C$35</f>
      </c>
      <c r="E30" s="20">
        <f>E29*Assumptions!$C$34*Assumptions!$C$35</f>
      </c>
      <c r="F30" s="20">
        <f>F29*Assumptions!$C$34*Assumptions!$C$35</f>
      </c>
      <c r="G30" s="20">
        <f>G29*Assumptions!$C$34*Assumptions!$C$35</f>
      </c>
      <c r="H30" s="20">
        <f>H29*Assumptions!$C$34*Assumptions!$C$35</f>
      </c>
      <c r="I30" s="20">
        <f>I29*Assumptions!$C$34*Assumptions!$C$35</f>
      </c>
      <c r="J30" s="20">
        <f>J29*Assumptions!$C$34*Assumptions!$C$35</f>
      </c>
      <c r="K30" s="20">
        <f>K29*Assumptions!$C$34*Assumptions!$C$35</f>
      </c>
      <c r="L30" s="20">
        <f>L29*Assumptions!$C$34*Assumptions!$C$35</f>
      </c>
      <c r="M30" s="20">
        <f>M29*Assumptions!$C$34*Assumptions!$C$35</f>
      </c>
      <c r="N30" s="20">
        <f>N29*Assumptions!$C$34*Assumptions!$C$35</f>
      </c>
      <c r="O30" s="20">
        <f>O29*Assumptions!$C$34*Assumptions!$C$35</f>
      </c>
      <c r="P30" s="20">
        <f>P29*Assumptions!$C$34*Assumptions!$C$35</f>
      </c>
      <c r="Q30" s="20">
        <f>Q29*Assumptions!$C$34*Assumptions!$C$35</f>
      </c>
      <c r="R30" s="20">
        <f>R29*Assumptions!$C$34*Assumptions!$C$35</f>
      </c>
      <c r="S30" s="20">
        <f>S29*Assumptions!$C$34*Assumptions!$C$35</f>
      </c>
      <c r="T30" s="20">
        <f>T29*Assumptions!$C$34*Assumptions!$C$35</f>
      </c>
      <c r="U30" s="20">
        <f>U29*Assumptions!$C$34*Assumptions!$C$35</f>
      </c>
      <c r="V30" s="20">
        <f>V29*Assumptions!$C$34*Assumptions!$C$35</f>
      </c>
      <c r="W30" s="20">
        <f>W29*Assumptions!$C$34*Assumptions!$C$35</f>
      </c>
      <c r="X30" s="20">
        <f>X29*Assumptions!$C$34*Assumptions!$C$35</f>
      </c>
      <c r="Y30" s="20">
        <f>Y29*Assumptions!$C$34*Assumptions!$C$35</f>
      </c>
      <c r="Z30" s="20">
        <f>Z29*Assumptions!$C$34*Assumptions!$C$35</f>
      </c>
      <c r="AA30" s="20">
        <f>AA29*Assumptions!$C$34*Assumptions!$C$35</f>
      </c>
      <c r="AB30" s="20">
        <f>AB29*Assumptions!$C$34*Assumptions!$C$35</f>
      </c>
      <c r="AC30" s="20">
        <f>AC29*Assumptions!$C$34*Assumptions!$C$35</f>
      </c>
      <c r="AD30" s="20">
        <f>AD29*Assumptions!$C$34*Assumptions!$C$35</f>
      </c>
      <c r="AE30" s="20">
        <f>AE29*Assumptions!$C$34*Assumptions!$C$35</f>
      </c>
      <c r="AF30" s="20">
        <f>AF29*Assumptions!$C$34*Assumptions!$C$35</f>
      </c>
      <c r="AG30" s="20">
        <f>AG29*Assumptions!$C$34*Assumptions!$C$35</f>
      </c>
      <c r="AH30" s="20">
        <f>AH29*Assumptions!$C$34*Assumptions!$C$35</f>
      </c>
      <c r="AI30" s="20">
        <f>AI29*Assumptions!$C$34*Assumptions!$C$35</f>
      </c>
      <c r="AJ30" s="20">
        <f>AJ29*Assumptions!$C$34*Assumptions!$C$35</f>
      </c>
      <c r="AK30" s="20">
        <f>AK29*Assumptions!$C$34*Assumptions!$C$35</f>
      </c>
    </row>
    <row r="31" spans="1:37" x14ac:dyDescent="0.25">
      <c r="A31" s="19" t="s">
        <v>82</v>
      </c>
      <c r="B31" s="20">
        <f>0</f>
      </c>
      <c r="C31" s="20">
        <f>0</f>
      </c>
      <c r="D31" s="20">
        <f>SUM(B14,C14,D14)-SUM(B30,C30,D30)</f>
      </c>
      <c r="E31" s="20">
        <f>0</f>
      </c>
      <c r="F31" s="20">
        <f>0</f>
      </c>
      <c r="G31" s="20">
        <f>SUM(E14,F14,G14)-SUM(E30,F30,G30)</f>
      </c>
      <c r="H31" s="20">
        <f>0</f>
      </c>
      <c r="I31" s="20">
        <f>0</f>
      </c>
      <c r="J31" s="20">
        <f>SUM(H14,I14,J14)-SUM(H30,I30,J30)</f>
      </c>
      <c r="K31" s="20">
        <f>0</f>
      </c>
      <c r="L31" s="20">
        <f>0</f>
      </c>
      <c r="M31" s="20">
        <f>SUM(K14,L14,M14)-SUM(K30,L30,M30)</f>
      </c>
      <c r="N31" s="20">
        <f>0</f>
      </c>
      <c r="O31" s="20">
        <f>0</f>
      </c>
      <c r="P31" s="20">
        <f>SUM(N14,O14,P14)-SUM(N30,O30,P30)</f>
      </c>
      <c r="Q31" s="20">
        <f>0</f>
      </c>
      <c r="R31" s="20">
        <f>0</f>
      </c>
      <c r="S31" s="20">
        <f>SUM(Q14,R14,S14)-SUM(Q30,R30,S30)</f>
      </c>
      <c r="T31" s="20">
        <f>0</f>
      </c>
      <c r="U31" s="20">
        <f>0</f>
      </c>
      <c r="V31" s="20">
        <f>SUM(T14,U14,V14)-SUM(T30,U30,V30)</f>
      </c>
      <c r="W31" s="20">
        <f>0</f>
      </c>
      <c r="X31" s="20">
        <f>0</f>
      </c>
      <c r="Y31" s="20">
        <f>SUM(W14,X14,Y14)-SUM(W30,X30,Y30)</f>
      </c>
      <c r="Z31" s="20">
        <f>0</f>
      </c>
      <c r="AA31" s="20">
        <f>0</f>
      </c>
      <c r="AB31" s="20">
        <f>SUM(Z14,AA14,AB14)-SUM(Z30,AA30,AB30)</f>
      </c>
      <c r="AC31" s="20">
        <f>0</f>
      </c>
      <c r="AD31" s="20">
        <f>0</f>
      </c>
      <c r="AE31" s="20">
        <f>SUM(AC14,AD14,AE14)-SUM(AC30,AD30,AE30)</f>
      </c>
      <c r="AF31" s="20">
        <f>0</f>
      </c>
      <c r="AG31" s="20">
        <f>0</f>
      </c>
      <c r="AH31" s="20">
        <f>SUM(AF14,AG14,AH14)-SUM(AF30,AG30,AH30)</f>
      </c>
      <c r="AI31" s="20">
        <f>0</f>
      </c>
      <c r="AJ31" s="20">
        <f>0</f>
      </c>
      <c r="AK31" s="20">
        <f>SUM(AI14,AJ14,AK14)-SUM(AI30,AJ30,AK30)</f>
      </c>
    </row>
    <row r="32" spans="1:37" x14ac:dyDescent="0.25">
      <c r="A32" s="19" t="s">
        <v>83</v>
      </c>
      <c r="B32" s="20">
        <f>0</f>
      </c>
      <c r="C32" s="20">
        <f>0</f>
      </c>
      <c r="D32" s="20">
        <f>0</f>
      </c>
      <c r="E32" s="20">
        <f>0</f>
      </c>
      <c r="F32" s="20">
        <f>0</f>
      </c>
      <c r="G32" s="20">
        <f>0</f>
      </c>
      <c r="H32" s="20">
        <f>0</f>
      </c>
      <c r="I32" s="20">
        <f>0</f>
      </c>
      <c r="J32" s="20">
        <f>0</f>
      </c>
      <c r="K32" s="20">
        <f>0</f>
      </c>
      <c r="L32" s="20">
        <f>0</f>
      </c>
      <c r="M32" s="20">
        <f>0</f>
      </c>
      <c r="N32" s="20">
        <f>0</f>
      </c>
      <c r="O32" s="20">
        <f>0</f>
      </c>
      <c r="P32" s="20">
        <f>0</f>
      </c>
      <c r="Q32" s="20">
        <f>0</f>
      </c>
      <c r="R32" s="20">
        <f>0</f>
      </c>
      <c r="S32" s="20">
        <f>0</f>
      </c>
      <c r="T32" s="20">
        <f>0</f>
      </c>
      <c r="U32" s="20">
        <f>0</f>
      </c>
      <c r="V32" s="20">
        <f>0</f>
      </c>
      <c r="W32" s="20">
        <f>MAX(0,SUM(B5:M5)-SUM(B29:M29))*Assumptions!$C$36</f>
      </c>
      <c r="X32" s="20">
        <f>0</f>
      </c>
      <c r="Y32" s="20">
        <f>0</f>
      </c>
      <c r="Z32" s="20">
        <f>0</f>
      </c>
      <c r="AA32" s="20">
        <f>0</f>
      </c>
      <c r="AB32" s="20">
        <f>0</f>
      </c>
      <c r="AC32" s="20">
        <f>0</f>
      </c>
      <c r="AD32" s="20">
        <f>0</f>
      </c>
      <c r="AE32" s="20">
        <f>0</f>
      </c>
      <c r="AF32" s="20">
        <f>0</f>
      </c>
      <c r="AG32" s="20">
        <f>0</f>
      </c>
      <c r="AH32" s="20">
        <f>0</f>
      </c>
      <c r="AI32" s="20">
        <f>MAX(0,SUM(N5:Y5)-SUM(N29:Y29))*Assumptions!$C$36</f>
      </c>
      <c r="AJ32" s="20">
        <f>0</f>
      </c>
      <c r="AK32" s="20">
        <f>0</f>
      </c>
    </row>
    <row r="33" spans="1:37" x14ac:dyDescent="0.25">
      <c r="A33" s="21" t="s">
        <v>84</v>
      </c>
      <c r="B33" s="22">
        <f>B29+B30+B31+B32</f>
      </c>
      <c r="C33" s="22">
        <f>C29+C30+C31+C32</f>
      </c>
      <c r="D33" s="22">
        <f>D29+D30+D31+D32</f>
      </c>
      <c r="E33" s="22">
        <f>E29+E30+E31+E32</f>
      </c>
      <c r="F33" s="22">
        <f>F29+F30+F31+F32</f>
      </c>
      <c r="G33" s="22">
        <f>G29+G30+G31+G32</f>
      </c>
      <c r="H33" s="22">
        <f>H29+H30+H31+H32</f>
      </c>
      <c r="I33" s="22">
        <f>I29+I30+I31+I32</f>
      </c>
      <c r="J33" s="22">
        <f>J29+J30+J31+J32</f>
      </c>
      <c r="K33" s="22">
        <f>K29+K30+K31+K32</f>
      </c>
      <c r="L33" s="22">
        <f>L29+L30+L31+L32</f>
      </c>
      <c r="M33" s="22">
        <f>M29+M30+M31+M32</f>
      </c>
      <c r="N33" s="22">
        <f>N29+N30+N31+N32</f>
      </c>
      <c r="O33" s="22">
        <f>O29+O30+O31+O32</f>
      </c>
      <c r="P33" s="22">
        <f>P29+P30+P31+P32</f>
      </c>
      <c r="Q33" s="22">
        <f>Q29+Q30+Q31+Q32</f>
      </c>
      <c r="R33" s="22">
        <f>R29+R30+R31+R32</f>
      </c>
      <c r="S33" s="22">
        <f>S29+S30+S31+S32</f>
      </c>
      <c r="T33" s="22">
        <f>T29+T30+T31+T32</f>
      </c>
      <c r="U33" s="22">
        <f>U29+U30+U31+U32</f>
      </c>
      <c r="V33" s="22">
        <f>V29+V30+V31+V32</f>
      </c>
      <c r="W33" s="22">
        <f>W29+W30+W31+W32</f>
      </c>
      <c r="X33" s="22">
        <f>X29+X30+X31+X32</f>
      </c>
      <c r="Y33" s="22">
        <f>Y29+Y30+Y31+Y32</f>
      </c>
      <c r="Z33" s="22">
        <f>Z29+Z30+Z31+Z32</f>
      </c>
      <c r="AA33" s="22">
        <f>AA29+AA30+AA31+AA32</f>
      </c>
      <c r="AB33" s="22">
        <f>AB29+AB30+AB31+AB32</f>
      </c>
      <c r="AC33" s="22">
        <f>AC29+AC30+AC31+AC32</f>
      </c>
      <c r="AD33" s="22">
        <f>AD29+AD30+AD31+AD32</f>
      </c>
      <c r="AE33" s="22">
        <f>AE29+AE30+AE31+AE32</f>
      </c>
      <c r="AF33" s="22">
        <f>AF29+AF30+AF31+AF32</f>
      </c>
      <c r="AG33" s="22">
        <f>AG29+AG30+AG31+AG32</f>
      </c>
      <c r="AH33" s="22">
        <f>AH29+AH30+AH31+AH32</f>
      </c>
      <c r="AI33" s="22">
        <f>AI29+AI30+AI31+AI32</f>
      </c>
      <c r="AJ33" s="22">
        <f>AJ29+AJ30+AJ31+AJ32</f>
      </c>
      <c r="AK33" s="22">
        <f>AK29+AK30+AK31+AK32</f>
      </c>
    </row>
    <row r="35" spans="1:1" x14ac:dyDescent="0.25">
      <c r="A35" s="18" t="s">
        <v>85</v>
      </c>
    </row>
    <row r="36" spans="1:37" x14ac:dyDescent="0.25">
      <c r="A36" s="19" t="s">
        <v>86</v>
      </c>
      <c r="B36" s="20">
        <f>Assumptions!$C$37</f>
      </c>
      <c r="C36" s="20">
        <f>B38</f>
      </c>
      <c r="D36" s="20">
        <f>C38</f>
      </c>
      <c r="E36" s="20">
        <f>D38</f>
      </c>
      <c r="F36" s="20">
        <f>E38</f>
      </c>
      <c r="G36" s="20">
        <f>F38</f>
      </c>
      <c r="H36" s="20">
        <f>G38</f>
      </c>
      <c r="I36" s="20">
        <f>H38</f>
      </c>
      <c r="J36" s="20">
        <f>I38</f>
      </c>
      <c r="K36" s="20">
        <f>J38</f>
      </c>
      <c r="L36" s="20">
        <f>K38</f>
      </c>
      <c r="M36" s="20">
        <f>L38</f>
      </c>
      <c r="N36" s="20">
        <f>M38</f>
      </c>
      <c r="O36" s="20">
        <f>N38</f>
      </c>
      <c r="P36" s="20">
        <f>O38</f>
      </c>
      <c r="Q36" s="20">
        <f>P38</f>
      </c>
      <c r="R36" s="20">
        <f>Q38</f>
      </c>
      <c r="S36" s="20">
        <f>R38</f>
      </c>
      <c r="T36" s="20">
        <f>S38</f>
      </c>
      <c r="U36" s="20">
        <f>T38</f>
      </c>
      <c r="V36" s="20">
        <f>U38</f>
      </c>
      <c r="W36" s="20">
        <f>V38</f>
      </c>
      <c r="X36" s="20">
        <f>W38</f>
      </c>
      <c r="Y36" s="20">
        <f>X38</f>
      </c>
      <c r="Z36" s="20">
        <f>Y38</f>
      </c>
      <c r="AA36" s="20">
        <f>Z38</f>
      </c>
      <c r="AB36" s="20">
        <f>AA38</f>
      </c>
      <c r="AC36" s="20">
        <f>AB38</f>
      </c>
      <c r="AD36" s="20">
        <f>AC38</f>
      </c>
      <c r="AE36" s="20">
        <f>AD38</f>
      </c>
      <c r="AF36" s="20">
        <f>AE38</f>
      </c>
      <c r="AG36" s="20">
        <f>AF38</f>
      </c>
      <c r="AH36" s="20">
        <f>AG38</f>
      </c>
      <c r="AI36" s="20">
        <f>AH38</f>
      </c>
      <c r="AJ36" s="20">
        <f>AI38</f>
      </c>
      <c r="AK36" s="20">
        <f>AJ38</f>
      </c>
    </row>
    <row r="37" spans="1:37" x14ac:dyDescent="0.25">
      <c r="A37" s="19" t="s">
        <v>87</v>
      </c>
      <c r="B37" s="20">
        <f>B16-B33</f>
      </c>
      <c r="C37" s="20">
        <f>C16-C33</f>
      </c>
      <c r="D37" s="20">
        <f>D16-D33</f>
      </c>
      <c r="E37" s="20">
        <f>E16-E33</f>
      </c>
      <c r="F37" s="20">
        <f>F16-F33</f>
      </c>
      <c r="G37" s="20">
        <f>G16-G33</f>
      </c>
      <c r="H37" s="20">
        <f>H16-H33</f>
      </c>
      <c r="I37" s="20">
        <f>I16-I33</f>
      </c>
      <c r="J37" s="20">
        <f>J16-J33</f>
      </c>
      <c r="K37" s="20">
        <f>K16-K33</f>
      </c>
      <c r="L37" s="20">
        <f>L16-L33</f>
      </c>
      <c r="M37" s="20">
        <f>M16-M33</f>
      </c>
      <c r="N37" s="20">
        <f>N16-N33</f>
      </c>
      <c r="O37" s="20">
        <f>O16-O33</f>
      </c>
      <c r="P37" s="20">
        <f>P16-P33</f>
      </c>
      <c r="Q37" s="20">
        <f>Q16-Q33</f>
      </c>
      <c r="R37" s="20">
        <f>R16-R33</f>
      </c>
      <c r="S37" s="20">
        <f>S16-S33</f>
      </c>
      <c r="T37" s="20">
        <f>T16-T33</f>
      </c>
      <c r="U37" s="20">
        <f>U16-U33</f>
      </c>
      <c r="V37" s="20">
        <f>V16-V33</f>
      </c>
      <c r="W37" s="20">
        <f>W16-W33</f>
      </c>
      <c r="X37" s="20">
        <f>X16-X33</f>
      </c>
      <c r="Y37" s="20">
        <f>Y16-Y33</f>
      </c>
      <c r="Z37" s="20">
        <f>Z16-Z33</f>
      </c>
      <c r="AA37" s="20">
        <f>AA16-AA33</f>
      </c>
      <c r="AB37" s="20">
        <f>AB16-AB33</f>
      </c>
      <c r="AC37" s="20">
        <f>AC16-AC33</f>
      </c>
      <c r="AD37" s="20">
        <f>AD16-AD33</f>
      </c>
      <c r="AE37" s="20">
        <f>AE16-AE33</f>
      </c>
      <c r="AF37" s="20">
        <f>AF16-AF33</f>
      </c>
      <c r="AG37" s="20">
        <f>AG16-AG33</f>
      </c>
      <c r="AH37" s="20">
        <f>AH16-AH33</f>
      </c>
      <c r="AI37" s="20">
        <f>AI16-AI33</f>
      </c>
      <c r="AJ37" s="20">
        <f>AJ16-AJ33</f>
      </c>
      <c r="AK37" s="20">
        <f>AK16-AK33</f>
      </c>
    </row>
    <row r="38" spans="1:37" x14ac:dyDescent="0.25">
      <c r="A38" s="21" t="s">
        <v>88</v>
      </c>
      <c r="B38" s="22">
        <f>B36+B37</f>
      </c>
      <c r="C38" s="22">
        <f>C36+C37</f>
      </c>
      <c r="D38" s="22">
        <f>D36+D37</f>
      </c>
      <c r="E38" s="22">
        <f>E36+E37</f>
      </c>
      <c r="F38" s="22">
        <f>F36+F37</f>
      </c>
      <c r="G38" s="22">
        <f>G36+G37</f>
      </c>
      <c r="H38" s="22">
        <f>H36+H37</f>
      </c>
      <c r="I38" s="22">
        <f>I36+I37</f>
      </c>
      <c r="J38" s="22">
        <f>J36+J37</f>
      </c>
      <c r="K38" s="22">
        <f>K36+K37</f>
      </c>
      <c r="L38" s="22">
        <f>L36+L37</f>
      </c>
      <c r="M38" s="22">
        <f>M36+M37</f>
      </c>
      <c r="N38" s="22">
        <f>N36+N37</f>
      </c>
      <c r="O38" s="22">
        <f>O36+O37</f>
      </c>
      <c r="P38" s="22">
        <f>P36+P37</f>
      </c>
      <c r="Q38" s="22">
        <f>Q36+Q37</f>
      </c>
      <c r="R38" s="22">
        <f>R36+R37</f>
      </c>
      <c r="S38" s="22">
        <f>S36+S37</f>
      </c>
      <c r="T38" s="22">
        <f>T36+T37</f>
      </c>
      <c r="U38" s="22">
        <f>U36+U37</f>
      </c>
      <c r="V38" s="22">
        <f>V36+V37</f>
      </c>
      <c r="W38" s="22">
        <f>W36+W37</f>
      </c>
      <c r="X38" s="22">
        <f>X36+X37</f>
      </c>
      <c r="Y38" s="22">
        <f>Y36+Y37</f>
      </c>
      <c r="Z38" s="22">
        <f>Z36+Z37</f>
      </c>
      <c r="AA38" s="22">
        <f>AA36+AA37</f>
      </c>
      <c r="AB38" s="22">
        <f>AB36+AB37</f>
      </c>
      <c r="AC38" s="22">
        <f>AC36+AC37</f>
      </c>
      <c r="AD38" s="22">
        <f>AD36+AD37</f>
      </c>
      <c r="AE38" s="22">
        <f>AE36+AE37</f>
      </c>
      <c r="AF38" s="22">
        <f>AF36+AF37</f>
      </c>
      <c r="AG38" s="22">
        <f>AG36+AG37</f>
      </c>
      <c r="AH38" s="22">
        <f>AH36+AH37</f>
      </c>
      <c r="AI38" s="22">
        <f>AI36+AI37</f>
      </c>
      <c r="AJ38" s="22">
        <f>AJ36+AJ37</f>
      </c>
      <c r="AK38" s="22">
        <f>AK36+AK37</f>
      </c>
    </row>
    <row r="39" spans="1:37" x14ac:dyDescent="0.25">
      <c r="A39" s="26" t="s">
        <v>89</v>
      </c>
      <c r="B39" s="27">
        <f>MIN($B38:B38)</f>
      </c>
      <c r="C39" s="27">
        <f>MIN($B38:C38)</f>
      </c>
      <c r="D39" s="27">
        <f>MIN($B38:D38)</f>
      </c>
      <c r="E39" s="27">
        <f>MIN($B38:E38)</f>
      </c>
      <c r="F39" s="27">
        <f>MIN($B38:F38)</f>
      </c>
      <c r="G39" s="27">
        <f>MIN($B38:G38)</f>
      </c>
      <c r="H39" s="27">
        <f>MIN($B38:H38)</f>
      </c>
      <c r="I39" s="27">
        <f>MIN($B38:I38)</f>
      </c>
      <c r="J39" s="27">
        <f>MIN($B38:J38)</f>
      </c>
      <c r="K39" s="27">
        <f>MIN($B38:K38)</f>
      </c>
      <c r="L39" s="27">
        <f>MIN($B38:L38)</f>
      </c>
      <c r="M39" s="27">
        <f>MIN($B38:M38)</f>
      </c>
      <c r="N39" s="27">
        <f>MIN($B38:N38)</f>
      </c>
      <c r="O39" s="27">
        <f>MIN($B38:O38)</f>
      </c>
      <c r="P39" s="27">
        <f>MIN($B38:P38)</f>
      </c>
      <c r="Q39" s="27">
        <f>MIN($B38:Q38)</f>
      </c>
      <c r="R39" s="27">
        <f>MIN($B38:R38)</f>
      </c>
      <c r="S39" s="27">
        <f>MIN($B38:S38)</f>
      </c>
      <c r="T39" s="27">
        <f>MIN($B38:T38)</f>
      </c>
      <c r="U39" s="27">
        <f>MIN($B38:U38)</f>
      </c>
      <c r="V39" s="27">
        <f>MIN($B38:V38)</f>
      </c>
      <c r="W39" s="27">
        <f>MIN($B38:W38)</f>
      </c>
      <c r="X39" s="27">
        <f>MIN($B38:X38)</f>
      </c>
      <c r="Y39" s="27">
        <f>MIN($B38:Y38)</f>
      </c>
      <c r="Z39" s="27">
        <f>MIN($B38:Z38)</f>
      </c>
      <c r="AA39" s="27">
        <f>MIN($B38:AA38)</f>
      </c>
      <c r="AB39" s="27">
        <f>MIN($B38:AB38)</f>
      </c>
      <c r="AC39" s="27">
        <f>MIN($B38:AC38)</f>
      </c>
      <c r="AD39" s="27">
        <f>MIN($B38:AD38)</f>
      </c>
      <c r="AE39" s="27">
        <f>MIN($B38:AE38)</f>
      </c>
      <c r="AF39" s="27">
        <f>MIN($B38:AF38)</f>
      </c>
      <c r="AG39" s="27">
        <f>MIN($B38:AG38)</f>
      </c>
      <c r="AH39" s="27">
        <f>MIN($B38:AH38)</f>
      </c>
      <c r="AI39" s="27">
        <f>MIN($B38:AI38)</f>
      </c>
      <c r="AJ39" s="27">
        <f>MIN($B38:AJ38)</f>
      </c>
      <c r="AK39" s="27">
        <f>MIN($B38:AK38)</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42" customWidth="1"/>
    <col min="2" max="4" width="16" customWidth="1"/>
  </cols>
  <sheetData>
    <row r="1" spans="1:4" x14ac:dyDescent="0.25">
      <c r="A1" s="28" t="s">
        <v>1</v>
      </c>
      <c r="B1" s="28" t="s">
        <v>90</v>
      </c>
      <c r="C1" s="28" t="s">
        <v>91</v>
      </c>
      <c r="D1" s="28" t="s">
        <v>92</v>
      </c>
    </row>
    <row r="2" spans="1:4" x14ac:dyDescent="0.25">
      <c r="A2" s="29" t="s">
        <v>66</v>
      </c>
      <c r="B2" s="30">
        <f>SUM('Monthly cash flow'!B5:'Monthly cash flow'!M5)</f>
      </c>
      <c r="C2" s="30">
        <f>SUM('Monthly cash flow'!N5:'Monthly cash flow'!Y5)</f>
      </c>
      <c r="D2" s="30">
        <f>SUM('Monthly cash flow'!Z5:'Monthly cash flow'!AK5)</f>
      </c>
    </row>
    <row r="3" spans="1:4" x14ac:dyDescent="0.25">
      <c r="A3" s="8" t="s">
        <v>80</v>
      </c>
      <c r="B3" s="31">
        <f>SUM('Monthly cash flow'!B29:'Monthly cash flow'!M29)</f>
      </c>
      <c r="C3" s="31">
        <f>SUM('Monthly cash flow'!N29:'Monthly cash flow'!Y29)</f>
      </c>
      <c r="D3" s="31">
        <f>SUM('Monthly cash flow'!Z29:'Monthly cash flow'!AK29)</f>
      </c>
    </row>
    <row r="4" spans="1:4" x14ac:dyDescent="0.25">
      <c r="A4" s="32" t="s">
        <v>93</v>
      </c>
      <c r="B4" s="33">
        <f>B2-B3</f>
      </c>
      <c r="C4" s="33">
        <f>C2-C3</f>
      </c>
      <c r="D4" s="33">
        <f>D2-D3</f>
      </c>
    </row>
    <row r="6" spans="1:4" x14ac:dyDescent="0.25">
      <c r="A6" s="8" t="s">
        <v>94</v>
      </c>
      <c r="B6" s="31">
        <f>SUM('Monthly cash flow'!B13:'Monthly cash flow'!M13)</f>
      </c>
      <c r="C6" s="31">
        <f>SUM('Monthly cash flow'!N13:'Monthly cash flow'!Y13)</f>
      </c>
      <c r="D6" s="31">
        <f>SUM('Monthly cash flow'!Z13:'Monthly cash flow'!AK13)</f>
      </c>
    </row>
    <row r="7" spans="1:4" x14ac:dyDescent="0.25">
      <c r="A7" s="29" t="s">
        <v>95</v>
      </c>
      <c r="B7" s="30">
        <f>'Monthly cash flow'!M38</f>
      </c>
      <c r="C7" s="30">
        <f>'Monthly cash flow'!Y38</f>
      </c>
      <c r="D7" s="30">
        <f>'Monthly cash flow'!AK38</f>
      </c>
    </row>
    <row r="8" spans="1:4" x14ac:dyDescent="0.25">
      <c r="A8" s="34" t="s">
        <v>96</v>
      </c>
      <c r="B8" s="35">
        <f>MIN('Monthly cash flow'!B38:'Monthly cash flow'!M38)</f>
      </c>
      <c r="C8" s="35">
        <f>MIN('Monthly cash flow'!N38:'Monthly cash flow'!Y38)</f>
      </c>
      <c r="D8" s="35">
        <f>MIN('Monthly cash flow'!Z38:'Monthly cash flow'!AK38)</f>
      </c>
    </row>
    <row r="10" ht="42" customHeight="1" spans="1:4" x14ac:dyDescent="0.25">
      <c r="A10" s="36" t="s">
        <v>97</v>
      </c>
      <c r="B10" s="36"/>
      <c r="C10" s="36"/>
      <c r="D10" s="36"/>
    </row>
  </sheetData>
  <mergeCells count="1">
    <mergeCell ref="A10:D1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Assumptions</vt:lpstr>
      <vt:lpstr>Monthly cash flow</vt:lpstr>
      <vt:lpstr>Annual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ETABLIX — Integrated Site Services</dc:creator>
  <dc:title/>
  <dc:subject/>
  <dc:description/>
  <cp:keywords/>
  <cp:category/>
  <cp:lastModifiedBy>Unknown</cp:lastModifiedBy>
  <dcterms:created xsi:type="dcterms:W3CDTF">2026-09-11T15:30:50Z</dcterms:created>
  <dcterms:modified xsi:type="dcterms:W3CDTF">2026-09-11T15:30:50Z</dcterms:modified>
</cp:coreProperties>
</file>