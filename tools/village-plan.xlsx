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Teams" sheetId="3" state="visible" r:id="rId3"/>
    <sheet xmlns:r="http://schemas.openxmlformats.org/officeDocument/2006/relationships" name="Packages" sheetId="4" state="visible" r:id="rId4"/>
    <sheet xmlns:r="http://schemas.openxmlformats.org/officeDocument/2006/relationships" name="Workforce" sheetId="5" state="visible" r:id="rId5"/>
    <sheet xmlns:r="http://schemas.openxmlformats.org/officeDocument/2006/relationships" name="BedDemand" sheetId="6" state="visible" r:id="rId6"/>
    <sheet xmlns:r="http://schemas.openxmlformats.org/officeDocument/2006/relationships" name="Accommodation" sheetId="7" state="visible" r:id="rId7"/>
    <sheet xmlns:r="http://schemas.openxmlformats.org/officeDocument/2006/relationships" name="Facilities" sheetId="8" state="visible" r:id="rId8"/>
    <sheet xmlns:r="http://schemas.openxmlformats.org/officeDocument/2006/relationships" name="Utilities" sheetId="9" state="visible" r:id="rId9"/>
    <sheet xmlns:r="http://schemas.openxmlformats.org/officeDocument/2006/relationships" name="Transport" sheetId="10" state="visible" r:id="rId10"/>
    <sheet xmlns:r="http://schemas.openxmlformats.org/officeDocument/2006/relationships" name="VillageStaff" sheetId="11" state="visible" r:id="rId11"/>
    <sheet xmlns:r="http://schemas.openxmlformats.org/officeDocument/2006/relationships" name="BuildProgramme" sheetId="12" state="visible" r:id="rId12"/>
    <sheet xmlns:r="http://schemas.openxmlformats.org/officeDocument/2006/relationships" name="Capex" sheetId="13" state="visible" r:id="rId13"/>
    <sheet xmlns:r="http://schemas.openxmlformats.org/officeDocument/2006/relationships" name="Opex" sheetId="14" state="visible" r:id="rId14"/>
    <sheet xmlns:r="http://schemas.openxmlformats.org/officeDocument/2006/relationships" name="CostSummary" sheetId="15" state="visible" r:id="rId15"/>
    <sheet xmlns:r="http://schemas.openxmlformats.org/officeDocument/2006/relationships" name="Compliance" sheetId="16" state="visible" r:id="rId16"/>
    <sheet xmlns:r="http://schemas.openxmlformats.org/officeDocument/2006/relationships" name="Risks" sheetId="17" state="visible" r:id="rId17"/>
    <sheet xmlns:r="http://schemas.openxmlformats.org/officeDocument/2006/relationships" name="Mobilisation" sheetId="18" state="visible" r:id="rId18"/>
  </sheets>
  <definedNames/>
  <calcPr calcId="124519" fullCalcOnLoad="1"/>
</workbook>
</file>

<file path=xl/styles.xml><?xml version="1.0" encoding="utf-8"?>
<styleSheet xmlns="http://schemas.openxmlformats.org/spreadsheetml/2006/main">
  <numFmts count="8">
    <numFmt numFmtId="164" formatCode="0.0%"/>
    <numFmt numFmtId="165" formatCode="0.0"/>
    <numFmt numFmtId="166" formatCode="£#,##0"/>
    <numFmt numFmtId="167" formatCode="0;;-"/>
    <numFmt numFmtId="168" formatCode="£#,##0;(£#,##0);-"/>
    <numFmt numFmtId="169" formatCode="£#,##0.00;;-"/>
    <numFmt numFmtId="170" formatCode="£#,##0.00"/>
    <numFmt numFmtId="171" formatCode="dd mmm yyyy"/>
  </numFmts>
  <fonts count="16">
    <font>
      <name val="Calibri"/>
      <family val="2"/>
      <color theme="1"/>
      <sz val="11"/>
      <scheme val="minor"/>
    </font>
    <font>
      <name val="Arial"/>
      <b val="1"/>
      <color rgb="0014181D"/>
      <sz val="14"/>
    </font>
    <font>
      <name val="Arial"/>
      <color rgb="009C7A3C"/>
      <sz val="11"/>
    </font>
    <font>
      <name val="Arial"/>
      <color rgb="005B6672"/>
      <sz val="9"/>
    </font>
    <font>
      <name val="Arial"/>
      <sz val="10"/>
    </font>
    <font>
      <name val="Arial"/>
      <b val="1"/>
      <sz val="10"/>
    </font>
    <font>
      <name val="Arial"/>
      <b val="1"/>
      <color rgb="009C7A3C"/>
      <sz val="10"/>
    </font>
    <font>
      <name val="Arial"/>
      <b val="1"/>
      <color rgb="00FFFFFF"/>
      <sz val="11"/>
    </font>
    <font>
      <name val="Arial"/>
      <color rgb="000000FF"/>
      <sz val="10"/>
    </font>
    <font>
      <name val="Arial"/>
      <color rgb="00008000"/>
      <sz val="10"/>
    </font>
    <font>
      <name val="Arial"/>
      <i val="1"/>
      <color rgb="00C0392B"/>
      <sz val="10"/>
    </font>
    <font>
      <name val="Arial"/>
      <i val="1"/>
      <color rgb="00C0392B"/>
      <sz val="9"/>
    </font>
    <font>
      <name val="Arial"/>
      <color rgb="009C7A3C"/>
      <sz val="9"/>
    </font>
    <font>
      <name val="Arial"/>
      <b val="1"/>
      <color rgb="00C0392B"/>
      <sz val="10"/>
    </font>
    <font>
      <name val="Arial"/>
      <b val="1"/>
      <color rgb="00C0392B"/>
      <sz val="9"/>
    </font>
    <font>
      <name val="Arial"/>
      <i val="1"/>
      <sz val="9"/>
    </font>
  </fonts>
  <fills count="7">
    <fill>
      <patternFill/>
    </fill>
    <fill>
      <patternFill patternType="gray125"/>
    </fill>
    <fill>
      <patternFill patternType="solid">
        <fgColor rgb="00FDEDEC"/>
      </patternFill>
    </fill>
    <fill>
      <patternFill patternType="solid">
        <fgColor rgb="0014181D"/>
      </patternFill>
    </fill>
    <fill>
      <patternFill patternType="solid">
        <fgColor rgb="00EDE7DA"/>
      </patternFill>
    </fill>
    <fill>
      <patternFill patternType="solid">
        <fgColor rgb="00FFF9C4"/>
      </patternFill>
    </fill>
    <fill>
      <patternFill patternType="solid">
        <fgColor rgb="00F2EFE7"/>
      </patternFill>
    </fill>
  </fills>
  <borders count="6">
    <border>
      <left/>
      <right/>
      <top/>
      <bottom/>
      <diagonal/>
    </border>
    <border>
      <bottom style="medium">
        <color rgb="0014181D"/>
      </bottom>
    </border>
    <border>
      <left style="thin">
        <color rgb="00D5D5D5"/>
      </left>
      <right style="thin">
        <color rgb="00D5D5D5"/>
      </right>
      <top style="thin">
        <color rgb="00D5D5D5"/>
      </top>
      <bottom style="thin">
        <color rgb="00D5D5D5"/>
      </bottom>
    </border>
    <border>
      <left/>
      <right style="thin">
        <color rgb="00D5D5D5"/>
      </right>
      <top/>
      <bottom style="thin">
        <color rgb="00D5D5D5"/>
      </bottom>
      <diagonal/>
    </border>
    <border>
      <left/>
      <right style="thin">
        <color rgb="00D5D5D5"/>
      </right>
      <top/>
      <bottom/>
      <diagonal/>
    </border>
    <border>
      <left/>
      <right/>
      <top/>
      <bottom style="thin">
        <color rgb="00D5D5D5"/>
      </bottom>
      <diagonal/>
    </border>
  </borders>
  <cellStyleXfs count="1">
    <xf numFmtId="0" fontId="0" fillId="0" borderId="0"/>
  </cellStyleXfs>
  <cellXfs count="9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4" fillId="2" borderId="0" applyAlignment="1" pivotButton="0" quotePrefix="0" xfId="0">
      <alignment vertical="top" wrapText="1"/>
    </xf>
    <xf numFmtId="0" fontId="6" fillId="0" borderId="0" pivotButton="0" quotePrefix="0" xfId="0"/>
    <xf numFmtId="0" fontId="7" fillId="3" borderId="0" applyAlignment="1" pivotButton="0" quotePrefix="0" xfId="0">
      <alignment vertical="center"/>
    </xf>
    <xf numFmtId="0" fontId="5" fillId="0" borderId="1" pivotButton="0" quotePrefix="0" xfId="0"/>
    <xf numFmtId="0" fontId="0" fillId="0" borderId="2" pivotButton="0" quotePrefix="0" xfId="0"/>
    <xf numFmtId="0" fontId="5" fillId="4" borderId="0" pivotButton="0" quotePrefix="0" xfId="0"/>
    <xf numFmtId="0" fontId="4" fillId="0" borderId="2" pivotButton="0" quotePrefix="0" xfId="0"/>
    <xf numFmtId="0" fontId="8" fillId="0" borderId="2" pivotButton="0" quotePrefix="0" xfId="0"/>
    <xf numFmtId="0" fontId="3" fillId="0" borderId="2" pivotButton="0" quotePrefix="0" xfId="0"/>
    <xf numFmtId="0" fontId="3" fillId="0" borderId="2" applyAlignment="1" pivotButton="0" quotePrefix="0" xfId="0">
      <alignment vertical="top" wrapText="1"/>
    </xf>
    <xf numFmtId="2" fontId="8" fillId="5" borderId="2" pivotButton="0" quotePrefix="0" xfId="0"/>
    <xf numFmtId="164" fontId="8" fillId="0" borderId="2" pivotButton="0" quotePrefix="0" xfId="0"/>
    <xf numFmtId="165" fontId="8" fillId="0" borderId="2" pivotButton="0" quotePrefix="0" xfId="0"/>
    <xf numFmtId="2" fontId="8" fillId="0" borderId="2" pivotButton="0" quotePrefix="0" xfId="0"/>
    <xf numFmtId="0" fontId="8" fillId="5" borderId="2" pivotButton="0" quotePrefix="0" xfId="0"/>
    <xf numFmtId="165" fontId="8" fillId="5" borderId="2" pivotButton="0" quotePrefix="0" xfId="0"/>
    <xf numFmtId="166" fontId="8" fillId="0" borderId="2" pivotButton="0" quotePrefix="0" xfId="0"/>
    <xf numFmtId="0" fontId="5" fillId="4" borderId="3" pivotButton="0" quotePrefix="0" xfId="0"/>
    <xf numFmtId="0" fontId="0" fillId="0" borderId="5" pivotButton="0" quotePrefix="0" xfId="0"/>
    <xf numFmtId="0" fontId="0" fillId="0" borderId="3" pivotButton="0" quotePrefix="0" xfId="0"/>
    <xf numFmtId="0" fontId="5" fillId="4" borderId="1" applyAlignment="1" pivotButton="0" quotePrefix="0" xfId="0">
      <alignment horizontal="left" vertical="bottom" wrapText="1"/>
    </xf>
    <xf numFmtId="0" fontId="5" fillId="4" borderId="1" applyAlignment="1" pivotButton="0" quotePrefix="0" xfId="0">
      <alignment horizontal="center" vertical="bottom" wrapText="1"/>
    </xf>
    <xf numFmtId="0" fontId="8" fillId="0" borderId="2" applyAlignment="1" pivotButton="0" quotePrefix="0" xfId="0">
      <alignment horizontal="center"/>
    </xf>
    <xf numFmtId="9" fontId="8" fillId="0" borderId="2" applyAlignment="1" pivotButton="0" quotePrefix="0" xfId="0">
      <alignment horizontal="center"/>
    </xf>
    <xf numFmtId="0" fontId="4" fillId="4" borderId="0" applyAlignment="1" pivotButton="0" quotePrefix="0" xfId="0">
      <alignment horizontal="center"/>
    </xf>
    <xf numFmtId="0" fontId="5" fillId="4" borderId="0" applyAlignment="1" pivotButton="0" quotePrefix="0" xfId="0">
      <alignment horizontal="center"/>
    </xf>
    <xf numFmtId="0" fontId="9" fillId="0" borderId="0" pivotButton="0" quotePrefix="0" xfId="0"/>
    <xf numFmtId="167" fontId="4" fillId="0" borderId="0" applyAlignment="1" pivotButton="0" quotePrefix="0" xfId="0">
      <alignment horizontal="center"/>
    </xf>
    <xf numFmtId="1" fontId="5" fillId="6" borderId="0" applyAlignment="1" pivotButton="0" quotePrefix="0" xfId="0">
      <alignment horizontal="center"/>
    </xf>
    <xf numFmtId="0" fontId="9" fillId="4" borderId="0" applyAlignment="1" pivotButton="0" quotePrefix="0" xfId="0">
      <alignment horizontal="center"/>
    </xf>
    <xf numFmtId="1" fontId="4" fillId="0" borderId="0" applyAlignment="1" pivotButton="0" quotePrefix="0" xfId="0">
      <alignment horizontal="center"/>
    </xf>
    <xf numFmtId="9" fontId="4" fillId="0" borderId="0" applyAlignment="1" pivotButton="0" quotePrefix="0" xfId="0">
      <alignment horizontal="center"/>
    </xf>
    <xf numFmtId="0" fontId="7" fillId="3" borderId="0" pivotButton="0" quotePrefix="0" xfId="0"/>
    <xf numFmtId="0" fontId="0" fillId="3" borderId="0" pivotButton="0" quotePrefix="0" xfId="0"/>
    <xf numFmtId="1" fontId="4" fillId="0" borderId="0" pivotButton="0" quotePrefix="0" xfId="0"/>
    <xf numFmtId="3" fontId="4" fillId="0" borderId="0" pivotButton="0" quotePrefix="0" xfId="0"/>
    <xf numFmtId="9" fontId="4" fillId="0" borderId="0" pivotButton="0" quotePrefix="0" xfId="0"/>
    <xf numFmtId="164" fontId="4" fillId="0" borderId="0" pivotButton="0" quotePrefix="0" xfId="0"/>
    <xf numFmtId="165" fontId="4" fillId="0" borderId="0" pivotButton="0" quotePrefix="0" xfId="0"/>
    <xf numFmtId="3" fontId="5" fillId="0" borderId="0" pivotButton="0" quotePrefix="0" xfId="0"/>
    <xf numFmtId="0" fontId="3" fillId="0" borderId="0" applyAlignment="1" pivotButton="0" quotePrefix="0" xfId="0">
      <alignment horizontal="center"/>
    </xf>
    <xf numFmtId="0" fontId="5" fillId="0" borderId="2" pivotButton="0" quotePrefix="0" xfId="0"/>
    <xf numFmtId="1" fontId="5" fillId="6" borderId="2" pivotButton="0" quotePrefix="0" xfId="0"/>
    <xf numFmtId="1" fontId="4" fillId="0" borderId="2" pivotButton="0" quotePrefix="0" xfId="0"/>
    <xf numFmtId="3" fontId="4" fillId="0" borderId="2" pivotButton="0" quotePrefix="0" xfId="0"/>
    <xf numFmtId="3" fontId="5" fillId="6" borderId="2" pivotButton="0" quotePrefix="0" xfId="0"/>
    <xf numFmtId="2" fontId="5" fillId="6" borderId="2" pivotButton="0" quotePrefix="0" xfId="0"/>
    <xf numFmtId="2" fontId="4" fillId="0" borderId="2" pivotButton="0" quotePrefix="0" xfId="0"/>
    <xf numFmtId="165" fontId="4" fillId="0" borderId="2" pivotButton="0" quotePrefix="0" xfId="0"/>
    <xf numFmtId="0" fontId="10" fillId="0" borderId="0" pivotButton="0" quotePrefix="0" xfId="0"/>
    <xf numFmtId="0" fontId="3" fillId="0" borderId="0" applyAlignment="1" pivotButton="0" quotePrefix="0" xfId="0">
      <alignment vertical="top" wrapText="1"/>
    </xf>
    <xf numFmtId="3" fontId="5" fillId="6"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165" fontId="5" fillId="6" borderId="0" pivotButton="0" quotePrefix="0" xfId="0"/>
    <xf numFmtId="3" fontId="5" fillId="6" borderId="0" pivotButton="0" quotePrefix="0" xfId="0"/>
    <xf numFmtId="0" fontId="11" fillId="0" borderId="0" pivotButton="0" quotePrefix="0" xfId="0"/>
    <xf numFmtId="1" fontId="5" fillId="6" borderId="0" pivotButton="0" quotePrefix="0" xfId="0"/>
    <xf numFmtId="165" fontId="5" fillId="6" borderId="0" applyAlignment="1" pivotButton="0" quotePrefix="0" xfId="0">
      <alignment horizontal="center"/>
    </xf>
    <xf numFmtId="0" fontId="3" fillId="4" borderId="0" applyAlignment="1" pivotButton="0" quotePrefix="0" xfId="0">
      <alignment horizontal="center"/>
    </xf>
    <xf numFmtId="0" fontId="12" fillId="0" borderId="0" applyAlignment="1" pivotButton="0" quotePrefix="0" xfId="0">
      <alignment horizontal="center"/>
    </xf>
    <xf numFmtId="0" fontId="13" fillId="0" borderId="0" pivotButton="0" quotePrefix="0" xfId="0"/>
    <xf numFmtId="0" fontId="14" fillId="0" borderId="0" pivotButton="0" quotePrefix="0" xfId="0"/>
    <xf numFmtId="3" fontId="9" fillId="0" borderId="2" pivotButton="0" quotePrefix="0" xfId="0"/>
    <xf numFmtId="168" fontId="4" fillId="0" borderId="2" pivotButton="0" quotePrefix="0" xfId="0"/>
    <xf numFmtId="168" fontId="5" fillId="6" borderId="0" pivotButton="0" quotePrefix="0" xfId="0"/>
    <xf numFmtId="168" fontId="4" fillId="0" borderId="0" pivotButton="0" quotePrefix="0" xfId="0"/>
    <xf numFmtId="168" fontId="1" fillId="5" borderId="0" pivotButton="0" quotePrefix="0" xfId="0"/>
    <xf numFmtId="169" fontId="4" fillId="0" borderId="0" pivotButton="0" quotePrefix="0" xfId="0"/>
    <xf numFmtId="170" fontId="4" fillId="5" borderId="0" pivotButton="0" quotePrefix="0" xfId="0"/>
    <xf numFmtId="168" fontId="8" fillId="5" borderId="0" pivotButton="0" quotePrefix="0" xfId="0"/>
    <xf numFmtId="168" fontId="5" fillId="0" borderId="0" pivotButton="0" quotePrefix="0" xfId="0"/>
    <xf numFmtId="170" fontId="4" fillId="0" borderId="0" pivotButton="0" quotePrefix="0" xfId="0"/>
    <xf numFmtId="3" fontId="9" fillId="0" borderId="0" pivotButton="0" quotePrefix="0" xfId="0"/>
    <xf numFmtId="164" fontId="9" fillId="0" borderId="0" pivotButton="0" quotePrefix="0" xfId="0"/>
    <xf numFmtId="0" fontId="15" fillId="0" borderId="0" pivotButton="0" quotePrefix="0" xfId="0"/>
    <xf numFmtId="0" fontId="5" fillId="4" borderId="1" applyAlignment="1" pivotButton="0" quotePrefix="0" xfId="0">
      <alignment vertical="bottom" wrapText="1"/>
    </xf>
    <xf numFmtId="0" fontId="4" fillId="0" borderId="2" applyAlignment="1" pivotButton="0" quotePrefix="0" xfId="0">
      <alignment vertical="top" wrapText="1"/>
    </xf>
    <xf numFmtId="0" fontId="4" fillId="0" borderId="2" applyAlignment="1" pivotButton="0" quotePrefix="0" xfId="0">
      <alignment horizontal="center"/>
    </xf>
    <xf numFmtId="0" fontId="5" fillId="0" borderId="2" applyAlignment="1" pivotButton="0" quotePrefix="0" xfId="0">
      <alignment horizontal="center"/>
    </xf>
    <xf numFmtId="171" fontId="8" fillId="0" borderId="2" pivotButton="0" quotePrefix="0" xfId="0"/>
    <xf numFmtId="171" fontId="8" fillId="0" borderId="2" pivotButton="0" quotePrefix="0" xfId="0"/>
    <xf numFmtId="0" fontId="5" fillId="4" borderId="0" applyAlignment="1" pivotButton="0" quotePrefix="0" xfId="0">
      <alignment vertical="bottom" wrapText="1"/>
    </xf>
    <xf numFmtId="168"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6"/>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2">
      <c r="B2" s="1" t="inlineStr">
        <is>
          <t>WORKERS ACCOMMODATION VILLAGE — RESOURCE AND OPERATING PLAN</t>
        </is>
      </c>
    </row>
    <row r="3">
      <c r="B3" s="2" t="inlineStr">
        <is>
          <t>300-person peak · 38-month programme · multi-company site</t>
        </is>
      </c>
    </row>
    <row r="4">
      <c r="B4" s="3" t="inlineStr">
        <is>
          <t>ETABLIX — Integrated Site Services, part of Groupe Nseya</t>
        </is>
      </c>
    </row>
    <row r="6" ht="14" customHeight="1">
      <c r="B6" s="4" t="inlineStr"/>
      <c r="C6" s="5" t="inlineStr"/>
    </row>
    <row r="7" ht="30" customHeight="1">
      <c r="B7" s="6" t="inlineStr">
        <is>
          <t>WHAT THIS IS</t>
        </is>
      </c>
      <c r="C7" s="5" t="inlineStr">
        <is>
          <t>A working model, not a picture of one. Change a driver on Assumptions and every bed, cover, litre, kilowatt, bus seat, FTE and pound downstream moves with it. Nothing below Assumptions is typed in by hand.</t>
        </is>
      </c>
    </row>
    <row r="8" ht="14" customHeight="1">
      <c r="B8" s="4" t="inlineStr"/>
      <c r="C8" s="5" t="inlineStr"/>
    </row>
    <row r="9" ht="30" customHeight="1">
      <c r="B9" s="6" t="inlineStr">
        <is>
          <t>HOW TO USE IT</t>
        </is>
      </c>
      <c r="C9" s="5" t="inlineStr">
        <is>
          <t>1. Set the drivers on Assumptions. Blue cells are yours to change; yellow are the ones that move the answer most.</t>
        </is>
      </c>
    </row>
    <row r="10" ht="14" customHeight="1">
      <c r="B10" s="4" t="inlineStr"/>
      <c r="C10" s="5" t="inlineStr">
        <is>
          <t>2. Put your real companies, teams and dates on Teams. Add or delete rows — everything else follows the range.</t>
        </is>
      </c>
    </row>
    <row r="11" ht="14" customHeight="1">
      <c r="B11" s="4" t="inlineStr"/>
      <c r="C11" s="5" t="inlineStr">
        <is>
          <t>3. Read Workforce, then BedDemand. Those two decide the village.</t>
        </is>
      </c>
    </row>
    <row r="12" ht="14" customHeight="1">
      <c r="B12" s="4" t="inlineStr"/>
      <c r="C12" s="5" t="inlineStr">
        <is>
          <t>4. Accommodation, Facilities, Utilities, Transport and VillageStaff size what you build and who runs it.</t>
        </is>
      </c>
    </row>
    <row r="13" ht="30" customHeight="1">
      <c r="B13" s="4" t="inlineStr"/>
      <c r="C13" s="5" t="inlineStr">
        <is>
          <t>5. Capex, Opex and CostSummary cost it. Replace every rate with your own quotation before anyone quotes from this.</t>
        </is>
      </c>
    </row>
    <row r="14" ht="14" customHeight="1">
      <c r="B14" s="4" t="inlineStr"/>
      <c r="C14" s="5" t="inlineStr">
        <is>
          <t>6. Compliance, Risks and Mobilisation are the parts that get forgotten and then hurt.</t>
        </is>
      </c>
    </row>
    <row r="15" ht="14" customHeight="1">
      <c r="B15" s="4" t="inlineStr"/>
      <c r="C15" s="5" t="inlineStr"/>
    </row>
    <row r="16" ht="30" customHeight="1">
      <c r="B16" s="6" t="inlineStr">
        <is>
          <t>COLOUR</t>
        </is>
      </c>
      <c r="C16" s="5" t="inlineStr">
        <is>
          <t>Blue text = type here.   Black = calculated, do not overtype.   Green = pulled from another sheet.   Yellow fill = a driver that changes the answer materially.</t>
        </is>
      </c>
    </row>
    <row r="17" ht="14" customHeight="1">
      <c r="B17" s="4" t="inlineStr"/>
      <c r="C17" s="5" t="inlineStr"/>
    </row>
    <row r="18" ht="30" customHeight="1">
      <c r="B18" s="6" t="inlineStr">
        <is>
          <t>THE ONE RULE</t>
        </is>
      </c>
      <c r="C18" s="7" t="inlineStr">
        <is>
          <t>Every figure here is a first-pass planning figure for validation by a competent person. It is not a design, a price or an instruction. Loads, flows, ratios and durations size a decision; they do not survive procurement without an engineer, and nothing safety-critical is resolved in a spreadsheet.</t>
        </is>
      </c>
    </row>
    <row r="19" ht="14" customHeight="1">
      <c r="B19" s="4" t="inlineStr"/>
      <c r="C19" s="5" t="inlineStr"/>
    </row>
    <row r="20" ht="30" customHeight="1">
      <c r="B20" s="6" t="inlineStr">
        <is>
          <t>ON THE COSTS</t>
        </is>
      </c>
      <c r="C20" s="7" t="inlineStr">
        <is>
          <t>Every rate on Capex and Opex is INDICATIVE and marked as such — an order-of-magnitude figure to size the decision, not a quotation and not a budget. They are blue because they are yours to replace. A number taken from here into a tender without a supplier behind it is your risk, not an estimate.</t>
        </is>
      </c>
    </row>
    <row r="21" ht="14" customHeight="1">
      <c r="B21" s="4" t="inlineStr"/>
      <c r="C21" s="5" t="inlineStr"/>
    </row>
    <row r="22" ht="14" customHeight="1">
      <c r="B22" s="6" t="inlineStr">
        <is>
          <t>WHAT DRIVES WHAT</t>
        </is>
      </c>
      <c r="C22" s="5" t="inlineStr"/>
    </row>
    <row r="24">
      <c r="B24" s="8" t="inlineStr">
        <is>
          <t>Teams  → Workforce</t>
        </is>
      </c>
      <c r="C24" s="4" t="inlineStr">
        <is>
          <t>each team's start, peak and end become a headcount curve across 38 months</t>
        </is>
      </c>
    </row>
    <row r="25">
      <c r="B25" s="8" t="inlineStr">
        <is>
          <t>Workforce  → BedDemand</t>
        </is>
      </c>
      <c r="C25" s="4" t="inlineStr">
        <is>
          <t>travelling percentage per team turns headcount into people needing a bed</t>
        </is>
      </c>
    </row>
    <row r="26">
      <c r="B26" s="8" t="inlineStr">
        <is>
          <t>BedDemand  → Accommodation</t>
        </is>
      </c>
      <c r="C26" s="4" t="inlineStr">
        <is>
          <t>peak beds, plus void, contingency and accessible provision, becomes a room schedule</t>
        </is>
      </c>
    </row>
    <row r="27">
      <c r="B27" s="8" t="inlineStr">
        <is>
          <t>BedDemand  → Facilities</t>
        </is>
      </c>
      <c r="C27" s="4" t="inlineStr">
        <is>
          <t>occupancy becomes canteen covers, laundry machines, drying, WCs and social space</t>
        </is>
      </c>
    </row>
    <row r="28">
      <c r="B28" s="8" t="inlineStr">
        <is>
          <t>BedDemand  → Utilities</t>
        </is>
      </c>
      <c r="C28" s="4" t="inlineStr">
        <is>
          <t>occupancy becomes water, foul, power, heat and waste, month by month</t>
        </is>
      </c>
    </row>
    <row r="29">
      <c r="B29" s="8" t="inlineStr">
        <is>
          <t>BedDemand  → Transport</t>
        </is>
      </c>
      <c r="C29" s="4" t="inlineStr">
        <is>
          <t>residents become bus seats, journeys and parking</t>
        </is>
      </c>
    </row>
    <row r="30">
      <c r="B30" s="8" t="inlineStr">
        <is>
          <t>BedDemand  → VillageStaff</t>
        </is>
      </c>
      <c r="C30" s="4" t="inlineStr">
        <is>
          <t>occupancy becomes the FTEs who run the village, 24/7 cover included</t>
        </is>
      </c>
    </row>
    <row r="31">
      <c r="B31" s="8" t="inlineStr">
        <is>
          <t>Accommodation  → Capex</t>
        </is>
      </c>
      <c r="C31" s="4" t="inlineStr">
        <is>
          <t>rooms and blocks become what it costs to create the village</t>
        </is>
      </c>
    </row>
    <row r="32">
      <c r="B32" s="8" t="inlineStr">
        <is>
          <t>VillageStaff + Utilities  → Opex</t>
        </is>
      </c>
      <c r="C32" s="4" t="inlineStr">
        <is>
          <t>people, energy and consumption become what it costs to run it each month</t>
        </is>
      </c>
    </row>
    <row r="33">
      <c r="B33" s="8" t="inlineStr">
        <is>
          <t>Capex + Opex  → CostSummary</t>
        </is>
      </c>
      <c r="C33" s="4" t="inlineStr">
        <is>
          <t>whole-life cost, cost per bed-night, and the cost recharged to each company</t>
        </is>
      </c>
    </row>
    <row r="34">
      <c r="B34" s="8" t="inlineStr">
        <is>
          <t>Packages  → Capex</t>
        </is>
      </c>
      <c r="C34" s="4" t="inlineStr">
        <is>
          <t>the five packages you buy — civil works, modular accommodation, kitchen, furniture, FM and operation</t>
        </is>
      </c>
    </row>
    <row r="35">
      <c r="B35" s="8" t="inlineStr">
        <is>
          <t>Packages  → the interfaces</t>
        </is>
      </c>
      <c r="C35" s="4" t="inlineStr">
        <is>
          <t>fifteen of them. A village fails between packages, not inside them — that table is the one to argue about before anything is let</t>
        </is>
      </c>
    </row>
    <row r="36">
      <c r="B36" s="8" t="inlineStr">
        <is>
          <t>Capex + Opex  → CostSummary</t>
        </is>
      </c>
      <c r="C36" s="4" t="inlineStr">
        <is>
          <t>whole-life cost by package, cost per bed-night, and the break-even against booking rooms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105"/>
  <sheetViews>
    <sheetView showGridLines="0" workbookViewId="0">
      <pane ySplit="6" topLeftCell="A7" activePane="bottomLeft" state="frozen"/>
      <selection pane="bottomLeft" activeCell="A1" sqref="A1"/>
    </sheetView>
  </sheetViews>
  <sheetFormatPr baseColWidth="8" defaultRowHeight="15"/>
  <cols>
    <col width="4" customWidth="1" min="1" max="1"/>
    <col width="52" customWidth="1" min="2" max="2"/>
    <col width="13" customWidth="1" min="3" max="3"/>
    <col width="12" customWidth="1" min="4" max="4"/>
    <col width="62" customWidth="1" min="5" max="5"/>
    <col width="2" customWidth="1" min="6" max="6"/>
  </cols>
  <sheetData>
    <row r="2">
      <c r="B2" s="1" t="inlineStr">
        <is>
          <t>ASSUMPTIONS AND DRIVERS</t>
        </is>
      </c>
    </row>
    <row r="3">
      <c r="B3" s="3" t="inlineStr">
        <is>
          <t>Blue = type here. Yellow = changes the answer materially. Every figure carries its basis; a basis of “to verify” means exactly that.</t>
        </is>
      </c>
    </row>
    <row r="5" ht="20" customHeight="1">
      <c r="A5" s="9" t="inlineStr">
        <is>
          <t xml:space="preserve">   ONE PLACE FOR EVERY NUMBER THIS PLAN RESTS ON</t>
        </is>
      </c>
    </row>
    <row r="6">
      <c r="A6" s="10" t="inlineStr"/>
      <c r="B6" s="10" t="inlineStr">
        <is>
          <t>Driver</t>
        </is>
      </c>
      <c r="C6" s="10" t="inlineStr">
        <is>
          <t>Value</t>
        </is>
      </c>
      <c r="D6" s="10" t="inlineStr">
        <is>
          <t>Unit</t>
        </is>
      </c>
      <c r="E6" s="10" t="inlineStr">
        <is>
          <t>Basis — and whether it is verified</t>
        </is>
      </c>
    </row>
    <row r="7">
      <c r="B7" s="11" t="n"/>
      <c r="C7" s="11" t="n"/>
      <c r="D7" s="11" t="n"/>
      <c r="E7" s="11" t="n"/>
    </row>
    <row r="8">
      <c r="A8" s="24" t="inlineStr">
        <is>
          <t>PROJECT</t>
        </is>
      </c>
      <c r="B8" s="25" t="n"/>
      <c r="C8" s="25" t="n"/>
      <c r="D8" s="25" t="n"/>
      <c r="E8" s="26" t="n"/>
    </row>
    <row r="9">
      <c r="B9" s="13" t="inlineStr">
        <is>
          <t>Project / site</t>
        </is>
      </c>
      <c r="C9" s="14" t="inlineStr">
        <is>
          <t>Project NORTHREACH — worked example</t>
        </is>
      </c>
      <c r="D9" s="15" t="inlineStr"/>
      <c r="E9" s="16" t="inlineStr">
        <is>
          <t>Replace with the real project. Nothing else keys off this.</t>
        </is>
      </c>
    </row>
    <row r="10">
      <c r="B10" s="13" t="inlineStr">
        <is>
          <t>Programme start (month 1)</t>
        </is>
      </c>
      <c r="C10" s="88" t="n">
        <v>46388</v>
      </c>
      <c r="D10" s="15" t="inlineStr">
        <is>
          <t>date</t>
        </is>
      </c>
      <c r="E10" s="16" t="inlineStr">
        <is>
          <t>A real date, not text. Every month label across the workbook is EDATE from this cell, so a text value here puts #VALUE! in 190 header cells.</t>
        </is>
      </c>
    </row>
    <row r="11">
      <c r="B11" s="13" t="inlineStr">
        <is>
          <t>Programme duration</t>
        </is>
      </c>
      <c r="C11" s="14" t="n">
        <v>38</v>
      </c>
      <c r="D11" s="15" t="inlineStr">
        <is>
          <t>months</t>
        </is>
      </c>
      <c r="E11" s="16" t="inlineStr">
        <is>
          <t>The plan is built for 38 columns. Changing this does not add columns.</t>
        </is>
      </c>
    </row>
    <row r="12" ht="24" customHeight="1">
      <c r="B12" s="13" t="inlineStr">
        <is>
          <t>Peak site population</t>
        </is>
      </c>
      <c r="C12" s="13">
        <f>MAX(Workforce!C29:AN29)</f>
        <v/>
      </c>
      <c r="D12" s="15" t="inlineStr">
        <is>
          <t>people</t>
        </is>
      </c>
      <c r="E12" s="16" t="inlineStr">
        <is>
          <t>Calculated from Teams. The headline 300 is the planning figure; the model says what the curve actually peaks at.</t>
        </is>
      </c>
    </row>
    <row r="13">
      <c r="B13" s="13" t="inlineStr">
        <is>
          <t>Peak travelling population</t>
        </is>
      </c>
      <c r="C13" s="13">
        <f>MAX(BedDemand!C7:AN7)</f>
        <v/>
      </c>
      <c r="D13" s="15" t="inlineStr">
        <is>
          <t>people</t>
        </is>
      </c>
      <c r="E13" s="16" t="inlineStr">
        <is>
          <t>The number that decides the village. Everyone else goes home at night.</t>
        </is>
      </c>
    </row>
    <row r="14">
      <c r="B14" s="11" t="n"/>
      <c r="C14" s="11" t="n"/>
      <c r="D14" s="11" t="n"/>
      <c r="E14" s="11" t="n"/>
    </row>
    <row r="15">
      <c r="A15" s="24" t="inlineStr">
        <is>
          <t>WHO NEEDS A BED</t>
        </is>
      </c>
      <c r="B15" s="25" t="n"/>
      <c r="C15" s="25" t="n"/>
      <c r="D15" s="25" t="n"/>
      <c r="E15" s="26" t="n"/>
    </row>
    <row r="16" ht="24" customHeight="1">
      <c r="B16" s="13" t="inlineStr">
        <is>
          <t>Rooms allocated per traveller</t>
        </is>
      </c>
      <c r="C16" s="17" t="n">
        <v>1</v>
      </c>
      <c r="D16" s="15" t="inlineStr">
        <is>
          <t>rooms</t>
        </is>
      </c>
      <c r="E16" s="16" t="inlineStr">
        <is>
          <t>One room per person. Sharing on rotation cuts rooms but needs strict rota discipline and personal storage; drop to 0.7 only if the rotation is contractual.</t>
        </is>
      </c>
    </row>
    <row r="17" ht="24" customHeight="1">
      <c r="B17" s="13" t="inlineStr">
        <is>
          <t>Rotation presence factor</t>
        </is>
      </c>
      <c r="C17" s="17" t="n">
        <v>1</v>
      </c>
      <c r="D17" s="15" t="inlineStr">
        <is>
          <t>×</t>
        </is>
      </c>
      <c r="E17" s="16" t="inlineStr">
        <is>
          <t>1.00 = everyone on site at once. A 3-on/1-off rotation is about 0.75. Verify against the actual rota before sizing.</t>
        </is>
      </c>
    </row>
    <row r="18" ht="24" customHeight="1">
      <c r="B18" s="13" t="inlineStr">
        <is>
          <t>Void and turnover allowance</t>
        </is>
      </c>
      <c r="C18" s="18" t="n">
        <v>0.05</v>
      </c>
      <c r="D18" s="15" t="inlineStr">
        <is>
          <t>%</t>
        </is>
      </c>
      <c r="E18" s="16" t="inlineStr">
        <is>
          <t>Rooms out of service for cleaning, changeover, damage and maintenance. Industry practice 4–6%; to verify against your operator.</t>
        </is>
      </c>
    </row>
    <row r="19" ht="24" customHeight="1">
      <c r="B19" s="13" t="inlineStr">
        <is>
          <t>Contingency rooms</t>
        </is>
      </c>
      <c r="C19" s="18" t="n">
        <v>0.05</v>
      </c>
      <c r="D19" s="15" t="inlineStr">
        <is>
          <t>%</t>
        </is>
      </c>
      <c r="E19" s="16" t="inlineStr">
        <is>
          <t>Headroom for a package running late over one running early. Not a substitute for a proper curve.</t>
        </is>
      </c>
    </row>
    <row r="20" ht="24" customHeight="1">
      <c r="B20" s="13" t="inlineStr">
        <is>
          <t>Female provision</t>
        </is>
      </c>
      <c r="C20" s="18" t="n">
        <v>0.08</v>
      </c>
      <c r="D20" s="15" t="inlineStr">
        <is>
          <t>%</t>
        </is>
      </c>
      <c r="E20" s="16" t="inlineStr">
        <is>
          <t>Of the travelling population. Drives a separate lockable block or floor, not just a room count. Set from your own diversity data — 8% is a placeholder.</t>
        </is>
      </c>
    </row>
    <row r="21" ht="24" customHeight="1">
      <c r="B21" s="13" t="inlineStr">
        <is>
          <t>Accessible rooms</t>
        </is>
      </c>
      <c r="C21" s="18" t="n">
        <v>0.05</v>
      </c>
      <c r="D21" s="15" t="inlineStr">
        <is>
          <t>%</t>
        </is>
      </c>
      <c r="E21" s="16" t="inlineStr">
        <is>
          <t>Wheelchair-accessible rooms with level access and accessible WC/shower. Confirm the required proportion with Building Control — this is a placeholder, not a standard.</t>
        </is>
      </c>
    </row>
    <row r="22">
      <c r="B22" s="13" t="inlineStr">
        <is>
          <t>Senior / manager rooms</t>
        </is>
      </c>
      <c r="C22" s="18" t="n">
        <v>0.06</v>
      </c>
      <c r="D22" s="15" t="inlineStr">
        <is>
          <t>%</t>
        </is>
      </c>
      <c r="E22" s="16" t="inlineStr">
        <is>
          <t>Larger room with a desk. A commercial decision, not a requirement.</t>
        </is>
      </c>
    </row>
    <row r="23">
      <c r="B23" s="13" t="inlineStr">
        <is>
          <t>Visitor and spare rooms</t>
        </is>
      </c>
      <c r="C23" s="14" t="n">
        <v>6</v>
      </c>
      <c r="D23" s="15" t="inlineStr">
        <is>
          <t>rooms</t>
        </is>
      </c>
      <c r="E23" s="16" t="inlineStr">
        <is>
          <t>Auditors, inspectors, client visits, isolation. Not optional in practice.</t>
        </is>
      </c>
    </row>
    <row r="24">
      <c r="B24" s="11" t="n"/>
      <c r="C24" s="11" t="n"/>
      <c r="D24" s="11" t="n"/>
      <c r="E24" s="11" t="n"/>
    </row>
    <row r="25">
      <c r="A25" s="24" t="inlineStr">
        <is>
          <t>ROOM AND BLOCK SIZING</t>
        </is>
      </c>
      <c r="B25" s="25" t="n"/>
      <c r="C25" s="25" t="n"/>
      <c r="D25" s="25" t="n"/>
      <c r="E25" s="26" t="n"/>
    </row>
    <row r="26" ht="24" customHeight="1">
      <c r="B26" s="13" t="inlineStr">
        <is>
          <t>Standard room — floor area</t>
        </is>
      </c>
      <c r="C26" s="19" t="n">
        <v>11</v>
      </c>
      <c r="D26" s="15" t="inlineStr">
        <is>
          <t>m²</t>
        </is>
      </c>
      <c r="E26" s="16" t="inlineStr">
        <is>
          <t>Single ensuite. Typical modular workforce room 10–12 m² including shower room. To verify against the module you actually procure.</t>
        </is>
      </c>
    </row>
    <row r="27">
      <c r="B27" s="13" t="inlineStr">
        <is>
          <t>Accessible room — floor area</t>
        </is>
      </c>
      <c r="C27" s="19" t="n">
        <v>16</v>
      </c>
      <c r="D27" s="15" t="inlineStr">
        <is>
          <t>m²</t>
        </is>
      </c>
      <c r="E27" s="16" t="inlineStr">
        <is>
          <t>Turning circle and accessible shower room. To verify with Building Control.</t>
        </is>
      </c>
    </row>
    <row r="28">
      <c r="B28" s="13" t="inlineStr">
        <is>
          <t>Senior room — floor area</t>
        </is>
      </c>
      <c r="C28" s="19" t="n">
        <v>14</v>
      </c>
      <c r="D28" s="15" t="inlineStr">
        <is>
          <t>m²</t>
        </is>
      </c>
      <c r="E28" s="16" t="inlineStr"/>
    </row>
    <row r="29" ht="24" customHeight="1">
      <c r="B29" s="13" t="inlineStr">
        <is>
          <t>Rooms per accommodation block</t>
        </is>
      </c>
      <c r="C29" s="14" t="n">
        <v>24</v>
      </c>
      <c r="D29" s="15" t="inlineStr">
        <is>
          <t>rooms</t>
        </is>
      </c>
      <c r="E29" s="16" t="inlineStr">
        <is>
          <t>Two storeys of twelve is a common modular block. Set from the supplier's standard module.</t>
        </is>
      </c>
    </row>
    <row r="30" ht="24" customHeight="1">
      <c r="B30" s="13" t="inlineStr">
        <is>
          <t>Circulation, plant and stair gross-up</t>
        </is>
      </c>
      <c r="C30" s="20" t="n">
        <v>1.35</v>
      </c>
      <c r="D30" s="15" t="inlineStr">
        <is>
          <t>×</t>
        </is>
      </c>
      <c r="E30" s="16" t="inlineStr">
        <is>
          <t>Corridors, stairs, risers, plant. Applied to net room area to get gross block area.</t>
        </is>
      </c>
    </row>
    <row r="31" ht="26" customHeight="1">
      <c r="B31" s="13" t="inlineStr">
        <is>
          <t>External space per bed</t>
        </is>
      </c>
      <c r="C31" s="19" t="n">
        <v>45</v>
      </c>
      <c r="D31" s="15" t="inlineStr">
        <is>
          <t>m²</t>
        </is>
      </c>
      <c r="E31" s="16" t="inlineStr">
        <is>
          <t>Roads, parking, footpaths, drainage, landscaping and the standoff between blocks for fire and privacy. At 22 m² the total site came out at 0.75 ha for 225 rooms, which cannot hold roads, parking and separation. 45 m² gives about 1.6 ha, which is the order a village of this size actually occupies. To verify against a real layout.</t>
        </is>
      </c>
    </row>
    <row r="32">
      <c r="B32" s="11" t="n"/>
      <c r="C32" s="11" t="n"/>
      <c r="D32" s="11" t="n"/>
      <c r="E32" s="11" t="n"/>
    </row>
    <row r="33">
      <c r="A33" s="24" t="inlineStr">
        <is>
          <t>CATERING</t>
        </is>
      </c>
      <c r="B33" s="25" t="n"/>
      <c r="C33" s="25" t="n"/>
      <c r="D33" s="25" t="n"/>
      <c r="E33" s="26" t="n"/>
    </row>
    <row r="34">
      <c r="B34" s="13" t="inlineStr">
        <is>
          <t>Take breakfast on site</t>
        </is>
      </c>
      <c r="C34" s="18" t="n">
        <v>0.85</v>
      </c>
      <c r="D34" s="15" t="inlineStr">
        <is>
          <t>%</t>
        </is>
      </c>
      <c r="E34" s="16" t="inlineStr">
        <is>
          <t>Of residents. Drives covers and food cost.</t>
        </is>
      </c>
    </row>
    <row r="35">
      <c r="B35" s="13" t="inlineStr">
        <is>
          <t>Take evening meal on site</t>
        </is>
      </c>
      <c r="C35" s="18" t="n">
        <v>0.92</v>
      </c>
      <c r="D35" s="15" t="inlineStr">
        <is>
          <t>%</t>
        </is>
      </c>
      <c r="E35" s="16" t="inlineStr">
        <is>
          <t>Of residents.</t>
        </is>
      </c>
    </row>
    <row r="36">
      <c r="B36" s="13" t="inlineStr">
        <is>
          <t>Packed lunches taken</t>
        </is>
      </c>
      <c r="C36" s="18" t="n">
        <v>0.9</v>
      </c>
      <c r="D36" s="15" t="inlineStr">
        <is>
          <t>%</t>
        </is>
      </c>
      <c r="E36" s="16" t="inlineStr">
        <is>
          <t>Of residents. Made in the same kitchen, no covers needed.</t>
        </is>
      </c>
    </row>
    <row r="37">
      <c r="B37" s="13" t="inlineStr">
        <is>
          <t>Sittings per meal service</t>
        </is>
      </c>
      <c r="C37" s="21" t="n">
        <v>2</v>
      </c>
      <c r="D37" s="15" t="inlineStr">
        <is>
          <t>no.</t>
        </is>
      </c>
      <c r="E37" s="16" t="inlineStr">
        <is>
          <t>Two sittings halves the dining room. Three is possible and unpopular.</t>
        </is>
      </c>
    </row>
    <row r="38">
      <c r="B38" s="13" t="inlineStr">
        <is>
          <t>Dining area per cover</t>
        </is>
      </c>
      <c r="C38" s="19" t="n">
        <v>1.6</v>
      </c>
      <c r="D38" s="15" t="inlineStr">
        <is>
          <t>m²</t>
        </is>
      </c>
      <c r="E38" s="16" t="inlineStr">
        <is>
          <t>Table, chair and circulation. 1.5–1.8 m² typical; to verify.</t>
        </is>
      </c>
    </row>
    <row r="39" ht="24" customHeight="1">
      <c r="B39" s="13" t="inlineStr">
        <is>
          <t>Kitchen and servery per cover</t>
        </is>
      </c>
      <c r="C39" s="20" t="n">
        <v>0.55</v>
      </c>
      <c r="D39" s="15" t="inlineStr">
        <is>
          <t>m²</t>
        </is>
      </c>
      <c r="E39" s="16" t="inlineStr">
        <is>
          <t>Preparation, cooking, servery, wash-up, dry and cold store. To verify with the caterer.</t>
        </is>
      </c>
    </row>
    <row r="40">
      <c r="B40" s="11" t="n"/>
      <c r="C40" s="11" t="n"/>
      <c r="D40" s="11" t="n"/>
      <c r="E40" s="11" t="n"/>
    </row>
    <row r="41">
      <c r="A41" s="24" t="inlineStr">
        <is>
          <t>LAUNDRY, HOUSEKEEPING AND SOCIAL</t>
        </is>
      </c>
      <c r="B41" s="25" t="n"/>
      <c r="C41" s="25" t="n"/>
      <c r="D41" s="25" t="n"/>
      <c r="E41" s="26" t="n"/>
    </row>
    <row r="42">
      <c r="B42" s="13" t="inlineStr">
        <is>
          <t>Residents per washing machine</t>
        </is>
      </c>
      <c r="C42" s="14" t="n">
        <v>14</v>
      </c>
      <c r="D42" s="15" t="inlineStr">
        <is>
          <t>people</t>
        </is>
      </c>
      <c r="E42" s="16" t="inlineStr">
        <is>
          <t>Self-service laundry. To verify — depends whether linen is contracted out.</t>
        </is>
      </c>
    </row>
    <row r="43">
      <c r="B43" s="13" t="inlineStr">
        <is>
          <t>Residents per tumble dryer</t>
        </is>
      </c>
      <c r="C43" s="14" t="n">
        <v>16</v>
      </c>
      <c r="D43" s="15" t="inlineStr">
        <is>
          <t>people</t>
        </is>
      </c>
      <c r="E43" s="16" t="inlineStr"/>
    </row>
    <row r="44" ht="24" customHeight="1">
      <c r="B44" s="13" t="inlineStr">
        <is>
          <t>Drying room capacity per 100 residents</t>
        </is>
      </c>
      <c r="C44" s="14" t="n">
        <v>1</v>
      </c>
      <c r="D44" s="15" t="inlineStr">
        <is>
          <t>rooms</t>
        </is>
      </c>
      <c r="E44" s="16" t="inlineStr">
        <is>
          <t>Wet PPE and boots. Separate from the laundry and non-negotiable in a wet climate.</t>
        </is>
      </c>
    </row>
    <row r="45">
      <c r="B45" s="13" t="inlineStr">
        <is>
          <t>Rooms cleaned per housekeeper per shift</t>
        </is>
      </c>
      <c r="C45" s="14" t="n">
        <v>18</v>
      </c>
      <c r="D45" s="15" t="inlineStr">
        <is>
          <t>rooms</t>
        </is>
      </c>
      <c r="E45" s="16" t="inlineStr">
        <is>
          <t>Full clean and linen change. To verify with the operator.</t>
        </is>
      </c>
    </row>
    <row r="46">
      <c r="B46" s="13" t="inlineStr">
        <is>
          <t>Linen change frequency</t>
        </is>
      </c>
      <c r="C46" s="14" t="n">
        <v>1</v>
      </c>
      <c r="D46" s="15" t="inlineStr">
        <is>
          <t>per week</t>
        </is>
      </c>
      <c r="E46" s="16" t="inlineStr"/>
    </row>
    <row r="47">
      <c r="B47" s="13" t="inlineStr">
        <is>
          <t>Gym area per 100 residents</t>
        </is>
      </c>
      <c r="C47" s="14" t="n">
        <v>45</v>
      </c>
      <c r="D47" s="15" t="inlineStr">
        <is>
          <t>m²</t>
        </is>
      </c>
      <c r="E47" s="16" t="inlineStr">
        <is>
          <t>A gym is not a luxury on a 38-month village; it is retention.</t>
        </is>
      </c>
    </row>
    <row r="48" ht="24" customHeight="1">
      <c r="B48" s="13" t="inlineStr">
        <is>
          <t>Social / TV space per 100 residents</t>
        </is>
      </c>
      <c r="C48" s="14" t="n">
        <v>60</v>
      </c>
      <c r="D48" s="15" t="inlineStr">
        <is>
          <t>m²</t>
        </is>
      </c>
      <c r="E48" s="16" t="inlineStr">
        <is>
          <t>Quiet room, TV room, games. Splitting it into several small rooms works better than one large one.</t>
        </is>
      </c>
    </row>
    <row r="49">
      <c r="B49" s="11" t="n"/>
      <c r="C49" s="11" t="n"/>
      <c r="D49" s="11" t="n"/>
      <c r="E49" s="11" t="n"/>
    </row>
    <row r="50">
      <c r="A50" s="24" t="inlineStr">
        <is>
          <t>UTILITIES AND WASTE</t>
        </is>
      </c>
      <c r="B50" s="25" t="n"/>
      <c r="C50" s="25" t="n"/>
      <c r="D50" s="25" t="n"/>
      <c r="E50" s="26" t="n"/>
    </row>
    <row r="51" ht="24" customHeight="1">
      <c r="B51" s="13" t="inlineStr">
        <is>
          <t>Water demand</t>
        </is>
      </c>
      <c r="C51" s="21" t="n">
        <v>140</v>
      </c>
      <c r="D51" s="15" t="inlineStr">
        <is>
          <t>l/person/day</t>
        </is>
      </c>
      <c r="E51" s="16" t="inlineStr">
        <is>
          <t>Residential occupancy including showers, laundry and catering. Far above the site-welfare figure. To verify with the water undertaker.</t>
        </is>
      </c>
    </row>
    <row r="52">
      <c r="B52" s="13" t="inlineStr">
        <is>
          <t>Hot water proportion</t>
        </is>
      </c>
      <c r="C52" s="18" t="n">
        <v>0.4</v>
      </c>
      <c r="D52" s="15" t="inlineStr">
        <is>
          <t>%</t>
        </is>
      </c>
      <c r="E52" s="16" t="inlineStr">
        <is>
          <t>Of total water. Drives the heating load and the calorifier sizing.</t>
        </is>
      </c>
    </row>
    <row r="53">
      <c r="B53" s="13" t="inlineStr">
        <is>
          <t>Foul return</t>
        </is>
      </c>
      <c r="C53" s="18" t="n">
        <v>0.95</v>
      </c>
      <c r="D53" s="15" t="inlineStr">
        <is>
          <t>%</t>
        </is>
      </c>
      <c r="E53" s="16" t="inlineStr">
        <is>
          <t>Of water in. Drives treatment plant or tanker frequency.</t>
        </is>
      </c>
    </row>
    <row r="54" ht="24" customHeight="1">
      <c r="B54" s="13" t="inlineStr">
        <is>
          <t>Electrical load per bed</t>
        </is>
      </c>
      <c r="C54" s="22" t="n">
        <v>1.6</v>
      </c>
      <c r="D54" s="15" t="inlineStr">
        <is>
          <t>kW</t>
        </is>
      </c>
      <c r="E54" s="16" t="inlineStr">
        <is>
          <t>Lighting, small power, ventilation, hot water. Excludes catering and electric heating. To verify with an engineer.</t>
        </is>
      </c>
    </row>
    <row r="55" ht="24" customHeight="1">
      <c r="B55" s="13" t="inlineStr">
        <is>
          <t>Diversity factor</t>
        </is>
      </c>
      <c r="C55" s="20" t="n">
        <v>0.65</v>
      </c>
      <c r="D55" s="15" t="inlineStr">
        <is>
          <t>×</t>
        </is>
      </c>
      <c r="E55" s="16" t="inlineStr">
        <is>
          <t>Not every load runs at once. Applied to connected load to get demand. To verify.</t>
        </is>
      </c>
    </row>
    <row r="56" ht="24" customHeight="1">
      <c r="B56" s="13" t="inlineStr">
        <is>
          <t>Catering electrical load</t>
        </is>
      </c>
      <c r="C56" s="14" t="n">
        <v>90</v>
      </c>
      <c r="D56" s="15" t="inlineStr">
        <is>
          <t>kW</t>
        </is>
      </c>
      <c r="E56" s="16" t="inlineStr">
        <is>
          <t>Kitchen, servery, cold stores, wash-up. Add if the kitchen is electric rather than gas.</t>
        </is>
      </c>
    </row>
    <row r="57" ht="24" customHeight="1">
      <c r="B57" s="13" t="inlineStr">
        <is>
          <t>Heating load per bed</t>
        </is>
      </c>
      <c r="C57" s="19" t="n">
        <v>1.2</v>
      </c>
      <c r="D57" s="15" t="inlineStr">
        <is>
          <t>kW</t>
        </is>
      </c>
      <c r="E57" s="16" t="inlineStr">
        <is>
          <t>Space heating at design outside temperature. To verify with the module supplier's U-values.</t>
        </is>
      </c>
    </row>
    <row r="58">
      <c r="B58" s="13" t="inlineStr">
        <is>
          <t>Power factor</t>
        </is>
      </c>
      <c r="C58" s="20" t="n">
        <v>0.9</v>
      </c>
      <c r="D58" s="15" t="inlineStr">
        <is>
          <t>×</t>
        </is>
      </c>
      <c r="E58" s="16" t="inlineStr">
        <is>
          <t>Converts kW to kVA for generation or a DNO connection. Sets are rated in kVA.</t>
        </is>
      </c>
    </row>
    <row r="59">
      <c r="B59" s="13" t="inlineStr">
        <is>
          <t>Waste arisings</t>
        </is>
      </c>
      <c r="C59" s="19" t="n">
        <v>1.1</v>
      </c>
      <c r="D59" s="15" t="inlineStr">
        <is>
          <t>kg/person/day</t>
        </is>
      </c>
      <c r="E59" s="16" t="inlineStr">
        <is>
          <t>Residential plus catering. To verify with the waste contractor.</t>
        </is>
      </c>
    </row>
    <row r="60">
      <c r="B60" s="13" t="inlineStr">
        <is>
          <t>Recycling and diversion target</t>
        </is>
      </c>
      <c r="C60" s="18" t="n">
        <v>0.55</v>
      </c>
      <c r="D60" s="15" t="inlineStr">
        <is>
          <t>%</t>
        </is>
      </c>
      <c r="E60" s="16" t="inlineStr"/>
    </row>
    <row r="61">
      <c r="B61" s="11" t="n"/>
      <c r="C61" s="11" t="n"/>
      <c r="D61" s="11" t="n"/>
      <c r="E61" s="11" t="n"/>
    </row>
    <row r="62">
      <c r="A62" s="24" t="inlineStr">
        <is>
          <t>TRANSPORT</t>
        </is>
      </c>
      <c r="B62" s="25" t="n"/>
      <c r="C62" s="25" t="n"/>
      <c r="D62" s="25" t="n"/>
      <c r="E62" s="26" t="n"/>
    </row>
    <row r="63">
      <c r="B63" s="13" t="inlineStr">
        <is>
          <t>Residents transported to site</t>
        </is>
      </c>
      <c r="C63" s="18" t="n">
        <v>0.95</v>
      </c>
      <c r="D63" s="15" t="inlineStr">
        <is>
          <t>%</t>
        </is>
      </c>
      <c r="E63" s="16" t="inlineStr">
        <is>
          <t>The rest drive or walk. A village next to the site changes this.</t>
        </is>
      </c>
    </row>
    <row r="64">
      <c r="B64" s="13" t="inlineStr">
        <is>
          <t>Bus seats</t>
        </is>
      </c>
      <c r="C64" s="14" t="n">
        <v>53</v>
      </c>
      <c r="D64" s="15" t="inlineStr">
        <is>
          <t>seats</t>
        </is>
      </c>
      <c r="E64" s="16" t="inlineStr">
        <is>
          <t>Standard coach. A 16-seat minibus changes the arithmetic entirely.</t>
        </is>
      </c>
    </row>
    <row r="65">
      <c r="B65" s="13" t="inlineStr">
        <is>
          <t>Bus load factor</t>
        </is>
      </c>
      <c r="C65" s="18" t="n">
        <v>0.85</v>
      </c>
      <c r="D65" s="15" t="inlineStr">
        <is>
          <t>%</t>
        </is>
      </c>
      <c r="E65" s="16" t="inlineStr">
        <is>
          <t>Nobody fills every seat every run.</t>
        </is>
      </c>
    </row>
    <row r="66">
      <c r="B66" s="13" t="inlineStr">
        <is>
          <t>Runs per shift change</t>
        </is>
      </c>
      <c r="C66" s="14" t="n">
        <v>2</v>
      </c>
      <c r="D66" s="15" t="inlineStr">
        <is>
          <t>no.</t>
        </is>
      </c>
      <c r="E66" s="16" t="inlineStr">
        <is>
          <t>Two runs staggers the arrival peak at the gate.</t>
        </is>
      </c>
    </row>
    <row r="67">
      <c r="B67" s="13" t="inlineStr">
        <is>
          <t>Shift changes per day</t>
        </is>
      </c>
      <c r="C67" s="14" t="n">
        <v>2</v>
      </c>
      <c r="D67" s="15" t="inlineStr">
        <is>
          <t>no.</t>
        </is>
      </c>
      <c r="E67" s="16" t="inlineStr">
        <is>
          <t>One for a single shift, two for two-shift working.</t>
        </is>
      </c>
    </row>
    <row r="68">
      <c r="B68" s="13" t="inlineStr">
        <is>
          <t>Resident parking per 10 residents</t>
        </is>
      </c>
      <c r="C68" s="19" t="n">
        <v>1.5</v>
      </c>
      <c r="D68" s="15" t="inlineStr">
        <is>
          <t>spaces</t>
        </is>
      </c>
      <c r="E68" s="16" t="inlineStr">
        <is>
          <t>Most residents are bussed; some keep a car for days off.</t>
        </is>
      </c>
    </row>
    <row r="69">
      <c r="B69" s="13" t="inlineStr">
        <is>
          <t>Village staff and visitor parking</t>
        </is>
      </c>
      <c r="C69" s="14" t="n">
        <v>25</v>
      </c>
      <c r="D69" s="15" t="inlineStr">
        <is>
          <t>spaces</t>
        </is>
      </c>
      <c r="E69" s="16" t="inlineStr"/>
    </row>
    <row r="70">
      <c r="B70" s="11" t="n"/>
      <c r="C70" s="11" t="n"/>
      <c r="D70" s="11" t="n"/>
      <c r="E70" s="11" t="n"/>
    </row>
    <row r="71">
      <c r="A71" s="24" t="inlineStr">
        <is>
          <t>RUNNING THE VILLAGE — STAFFING RATIOS</t>
        </is>
      </c>
      <c r="B71" s="25" t="n"/>
      <c r="C71" s="25" t="n"/>
      <c r="D71" s="25" t="n"/>
      <c r="E71" s="26" t="n"/>
    </row>
    <row r="72">
      <c r="B72" s="13" t="inlineStr">
        <is>
          <t>FTE contracted hours</t>
        </is>
      </c>
      <c r="C72" s="14" t="n">
        <v>42</v>
      </c>
      <c r="D72" s="15" t="inlineStr">
        <is>
          <t>h/week</t>
        </is>
      </c>
      <c r="E72" s="16" t="inlineStr"/>
    </row>
    <row r="73" ht="24" customHeight="1">
      <c r="B73" s="13" t="inlineStr">
        <is>
          <t>24/7 post cover factor</t>
        </is>
      </c>
      <c r="C73" s="19" t="n">
        <v>4.6</v>
      </c>
      <c r="D73" s="15" t="inlineStr">
        <is>
          <t>FTE/post</t>
        </is>
      </c>
      <c r="E73" s="16" t="inlineStr">
        <is>
          <t>168 hours a week divided by contracted hours, plus leave, sickness and training cover. To verify with your HR model.</t>
        </is>
      </c>
    </row>
    <row r="74">
      <c r="B74" s="13" t="inlineStr">
        <is>
          <t>Reception posts (24/7)</t>
        </is>
      </c>
      <c r="C74" s="14" t="n">
        <v>1</v>
      </c>
      <c r="D74" s="15" t="inlineStr">
        <is>
          <t>posts</t>
        </is>
      </c>
      <c r="E74" s="16" t="inlineStr"/>
    </row>
    <row r="75">
      <c r="B75" s="13" t="inlineStr">
        <is>
          <t>Security posts (24/7)</t>
        </is>
      </c>
      <c r="C75" s="14" t="n">
        <v>2</v>
      </c>
      <c r="D75" s="15" t="inlineStr">
        <is>
          <t>posts</t>
        </is>
      </c>
      <c r="E75" s="16" t="inlineStr">
        <is>
          <t>Gatehouse plus patrol. Confirm against the security risk assessment.</t>
        </is>
      </c>
    </row>
    <row r="76">
      <c r="B76" s="13" t="inlineStr">
        <is>
          <t>Beds per housekeeping FTE</t>
        </is>
      </c>
      <c r="C76" s="14" t="n">
        <v>32</v>
      </c>
      <c r="D76" s="15" t="inlineStr">
        <is>
          <t>beds</t>
        </is>
      </c>
      <c r="E76" s="16" t="inlineStr">
        <is>
          <t>Derived from rooms per shift; shown here so it can be overridden directly.</t>
        </is>
      </c>
    </row>
    <row r="77" ht="24" customHeight="1">
      <c r="B77" s="13" t="inlineStr">
        <is>
          <t>Covers per catering FTE</t>
        </is>
      </c>
      <c r="C77" s="14" t="n">
        <v>45</v>
      </c>
      <c r="D77" s="15" t="inlineStr">
        <is>
          <t>covers</t>
        </is>
      </c>
      <c r="E77" s="16" t="inlineStr">
        <is>
          <t>Chefs, servery, wash-up and stores across the meal cycle. To verify with the caterer.</t>
        </is>
      </c>
    </row>
    <row r="78">
      <c r="B78" s="13" t="inlineStr">
        <is>
          <t>Maintenance FTE per 100 beds</t>
        </is>
      </c>
      <c r="C78" s="19" t="n">
        <v>0.9</v>
      </c>
      <c r="D78" s="15" t="inlineStr">
        <is>
          <t>FTE</t>
        </is>
      </c>
      <c r="E78" s="16" t="inlineStr">
        <is>
          <t>Reactive and planned, including grounds and waste.</t>
        </is>
      </c>
    </row>
    <row r="79">
      <c r="B79" s="13" t="inlineStr">
        <is>
          <t>Village management FTE</t>
        </is>
      </c>
      <c r="C79" s="14" t="n">
        <v>2</v>
      </c>
      <c r="D79" s="15" t="inlineStr">
        <is>
          <t>FTE</t>
        </is>
      </c>
      <c r="E79" s="16" t="inlineStr">
        <is>
          <t>Village manager and deputy. Below about 150 beds, one.</t>
        </is>
      </c>
    </row>
    <row r="80" ht="24" customHeight="1">
      <c r="B80" s="13" t="inlineStr">
        <is>
          <t>Administration and welfare FTE</t>
        </is>
      </c>
      <c r="C80" s="19" t="n">
        <v>1.5</v>
      </c>
      <c r="D80" s="15" t="inlineStr">
        <is>
          <t>FTE</t>
        </is>
      </c>
      <c r="E80" s="16" t="inlineStr">
        <is>
          <t>Bookings, inductions, pastoral and complaints. The last one is why villages succeed or fail.</t>
        </is>
      </c>
    </row>
    <row r="81">
      <c r="B81" s="11" t="n"/>
      <c r="C81" s="11" t="n"/>
      <c r="D81" s="11" t="n"/>
      <c r="E81" s="11" t="n"/>
    </row>
    <row r="82">
      <c r="A82" s="24" t="inlineStr">
        <is>
          <t>INDICATIVE RATES — REPLACE EVERY ONE BEFORE QUOTING</t>
        </is>
      </c>
      <c r="B82" s="25" t="n"/>
      <c r="C82" s="25" t="n"/>
      <c r="D82" s="25" t="n"/>
      <c r="E82" s="26" t="n"/>
    </row>
    <row r="83" ht="24" customHeight="1">
      <c r="B83" s="13" t="inlineStr">
        <is>
          <t>Room module — supply, deliver, install</t>
        </is>
      </c>
      <c r="C83" s="23" t="n">
        <v>24000</v>
      </c>
      <c r="D83" s="15" t="inlineStr">
        <is>
          <t>£/room</t>
        </is>
      </c>
      <c r="E83" s="16" t="inlineStr">
        <is>
          <t>INDICATIVE ORDER OF MAGNITUDE. Not a quotation. Varies enormously with specification and distance.</t>
        </is>
      </c>
    </row>
    <row r="84">
      <c r="B84" s="13" t="inlineStr">
        <is>
          <t>Groundworks and hardstanding</t>
        </is>
      </c>
      <c r="C84" s="23" t="n">
        <v>95</v>
      </c>
      <c r="D84" s="15" t="inlineStr">
        <is>
          <t>£/m²</t>
        </is>
      </c>
      <c r="E84" s="16" t="inlineStr">
        <is>
          <t>INDICATIVE. Depends entirely on ground conditions, which are not known here.</t>
        </is>
      </c>
    </row>
    <row r="85">
      <c r="B85" s="13" t="inlineStr">
        <is>
          <t>Utility connections and infrastructure</t>
        </is>
      </c>
      <c r="C85" s="23" t="n">
        <v>850000</v>
      </c>
      <c r="D85" s="15" t="inlineStr">
        <is>
          <t>£ lump</t>
        </is>
      </c>
      <c r="E85" s="16" t="inlineStr">
        <is>
          <t>INDICATIVE. Wholly dependent on distance to the mains and DNO capacity.</t>
        </is>
      </c>
    </row>
    <row r="86">
      <c r="B86" s="13" t="inlineStr">
        <is>
          <t>Furniture, fittings and equipment</t>
        </is>
      </c>
      <c r="C86" s="23" t="n">
        <v>3200</v>
      </c>
      <c r="D86" s="15" t="inlineStr">
        <is>
          <t>£/room</t>
        </is>
      </c>
      <c r="E86" s="16" t="inlineStr">
        <is>
          <t>INDICATIVE.</t>
        </is>
      </c>
    </row>
    <row r="87">
      <c r="B87" s="13" t="inlineStr">
        <is>
          <t>Catering fit-out</t>
        </is>
      </c>
      <c r="C87" s="23" t="n">
        <v>4200</v>
      </c>
      <c r="D87" s="15" t="inlineStr">
        <is>
          <t>£/cover</t>
        </is>
      </c>
      <c r="E87" s="16" t="inlineStr">
        <is>
          <t>INDICATIVE.</t>
        </is>
      </c>
    </row>
    <row r="88">
      <c r="B88" s="13" t="inlineStr">
        <is>
          <t>Design, consents and surveys</t>
        </is>
      </c>
      <c r="C88" s="23" t="n">
        <v>380000</v>
      </c>
      <c r="D88" s="15" t="inlineStr">
        <is>
          <t>£ lump</t>
        </is>
      </c>
      <c r="E88" s="16" t="inlineStr">
        <is>
          <t>INDICATIVE. Planning for a temporary village is not a formality.</t>
        </is>
      </c>
    </row>
    <row r="89" ht="26" customHeight="1">
      <c r="B89" s="13" t="inlineStr">
        <is>
          <t>Demobilisation and reinstatement</t>
        </is>
      </c>
      <c r="C89" s="18" t="n">
        <v>0.1</v>
      </c>
      <c r="D89" s="15" t="inlineStr">
        <is>
          <t>% of capex</t>
        </is>
      </c>
      <c r="E89" s="16" t="inlineStr">
        <is>
          <t>INDICATIVE, applied to the physical packages P1–P4 only. You do not demobilise a design fee or a mobilisation cost. Ten per cent of the physical works is an order-of-magnitude figure for removal, making good and reinstatement — replace it with a real scope.</t>
        </is>
      </c>
    </row>
    <row r="90" ht="24" customHeight="1">
      <c r="B90" s="13" t="inlineStr">
        <is>
          <t>Room hire</t>
        </is>
      </c>
      <c r="C90" s="23" t="n">
        <v>620</v>
      </c>
      <c r="D90" s="15" t="inlineStr">
        <is>
          <t>£/room/month</t>
        </is>
      </c>
      <c r="E90" s="16" t="inlineStr">
        <is>
          <t>INDICATIVE, where modules are hired rather than bought. Set to zero if purchased above.</t>
        </is>
      </c>
    </row>
    <row r="91">
      <c r="B91" s="13" t="inlineStr">
        <is>
          <t>Utilities</t>
        </is>
      </c>
      <c r="C91" s="23" t="n">
        <v>145</v>
      </c>
      <c r="D91" s="15" t="inlineStr">
        <is>
          <t>£/bed/month</t>
        </is>
      </c>
      <c r="E91" s="16" t="inlineStr">
        <is>
          <t>INDICATIVE.</t>
        </is>
      </c>
    </row>
    <row r="92">
      <c r="B92" s="13" t="inlineStr">
        <is>
          <t>Catering</t>
        </is>
      </c>
      <c r="C92" s="23" t="n">
        <v>24</v>
      </c>
      <c r="D92" s="15" t="inlineStr">
        <is>
          <t>£/resident/day</t>
        </is>
      </c>
      <c r="E92" s="16" t="inlineStr">
        <is>
          <t>INDICATIVE. Three meals including packed lunch.</t>
        </is>
      </c>
    </row>
    <row r="93">
      <c r="B93" s="13" t="inlineStr">
        <is>
          <t>Housekeeping and laundry</t>
        </is>
      </c>
      <c r="C93" s="23" t="n">
        <v>118</v>
      </c>
      <c r="D93" s="15" t="inlineStr">
        <is>
          <t>£/room/month</t>
        </is>
      </c>
      <c r="E93" s="16" t="inlineStr">
        <is>
          <t>INDICATIVE.</t>
        </is>
      </c>
    </row>
    <row r="94">
      <c r="B94" s="13" t="inlineStr">
        <is>
          <t>Transport</t>
        </is>
      </c>
      <c r="C94" s="23" t="n">
        <v>9500</v>
      </c>
      <c r="D94" s="15" t="inlineStr">
        <is>
          <t>£/bus/month</t>
        </is>
      </c>
      <c r="E94" s="16" t="inlineStr">
        <is>
          <t>INDICATIVE. Driver, fuel, maintenance, insurance.</t>
        </is>
      </c>
    </row>
    <row r="95">
      <c r="B95" s="13" t="inlineStr">
        <is>
          <t>Village staff — average cost</t>
        </is>
      </c>
      <c r="C95" s="23" t="n">
        <v>4100</v>
      </c>
      <c r="D95" s="15" t="inlineStr">
        <is>
          <t>£/FTE/month</t>
        </is>
      </c>
      <c r="E95" s="16" t="inlineStr">
        <is>
          <t>INDICATIVE fully loaded cost.</t>
        </is>
      </c>
    </row>
    <row r="96">
      <c r="B96" s="13" t="inlineStr">
        <is>
          <t>Insurance, licences and rates</t>
        </is>
      </c>
      <c r="C96" s="23" t="n">
        <v>18500</v>
      </c>
      <c r="D96" s="15" t="inlineStr">
        <is>
          <t>£/month</t>
        </is>
      </c>
      <c r="E96" s="16" t="inlineStr">
        <is>
          <t>INDICATIVE.</t>
        </is>
      </c>
    </row>
    <row r="97">
      <c r="B97" s="13" t="inlineStr">
        <is>
          <t>Maintenance and consumables</t>
        </is>
      </c>
      <c r="C97" s="23" t="n">
        <v>42</v>
      </c>
      <c r="D97" s="15" t="inlineStr">
        <is>
          <t>£/room/month</t>
        </is>
      </c>
      <c r="E97" s="16" t="inlineStr">
        <is>
          <t>INDICATIVE.</t>
        </is>
      </c>
    </row>
    <row r="98">
      <c r="B98" s="11" t="n"/>
      <c r="C98" s="11" t="n"/>
      <c r="D98" s="11" t="n"/>
      <c r="E98" s="11" t="n"/>
    </row>
    <row r="99">
      <c r="A99" s="24" t="inlineStr">
        <is>
          <t>VILLAGE DELIVERY PROGRAMME</t>
        </is>
      </c>
      <c r="B99" s="25" t="n"/>
      <c r="C99" s="25" t="n"/>
      <c r="D99" s="25" t="n"/>
      <c r="E99" s="26" t="n"/>
    </row>
    <row r="100" ht="24" customHeight="1">
      <c r="B100" s="13" t="inlineStr">
        <is>
          <t>Design, planning and consents</t>
        </is>
      </c>
      <c r="C100" s="14" t="n">
        <v>7</v>
      </c>
      <c r="D100" s="15" t="inlineStr">
        <is>
          <t>months</t>
        </is>
      </c>
      <c r="E100" s="16" t="inlineStr">
        <is>
          <t>A temporary workers village usually needs full planning permission. To verify with the local authority.</t>
        </is>
      </c>
    </row>
    <row r="101">
      <c r="B101" s="13" t="inlineStr">
        <is>
          <t>Procurement and module lead time</t>
        </is>
      </c>
      <c r="C101" s="14" t="n">
        <v>5</v>
      </c>
      <c r="D101" s="15" t="inlineStr">
        <is>
          <t>months</t>
        </is>
      </c>
      <c r="E101" s="16" t="inlineStr">
        <is>
          <t>Runs partly in parallel with consents at your own risk.</t>
        </is>
      </c>
    </row>
    <row r="102">
      <c r="B102" s="13" t="inlineStr">
        <is>
          <t>Groundworks and infrastructure</t>
        </is>
      </c>
      <c r="C102" s="14" t="n">
        <v>4</v>
      </c>
      <c r="D102" s="15" t="inlineStr">
        <is>
          <t>months</t>
        </is>
      </c>
      <c r="E102" s="16" t="inlineStr"/>
    </row>
    <row r="103">
      <c r="B103" s="13" t="inlineStr">
        <is>
          <t>Module delivery and installation</t>
        </is>
      </c>
      <c r="C103" s="14" t="n">
        <v>3</v>
      </c>
      <c r="D103" s="15" t="inlineStr">
        <is>
          <t>months</t>
        </is>
      </c>
      <c r="E103" s="16" t="inlineStr"/>
    </row>
    <row r="104">
      <c r="B104" s="13" t="inlineStr">
        <is>
          <t>Commissioning and handover</t>
        </is>
      </c>
      <c r="C104" s="14" t="n">
        <v>1</v>
      </c>
      <c r="D104" s="15" t="inlineStr">
        <is>
          <t>months</t>
        </is>
      </c>
      <c r="E104" s="16" t="inlineStr"/>
    </row>
    <row r="105" ht="24" customHeight="1">
      <c r="B105" s="13" t="inlineStr">
        <is>
          <t>Village must be live by month</t>
        </is>
      </c>
      <c r="C105" s="21" t="n">
        <v>4</v>
      </c>
      <c r="D105" s="15" t="inlineStr">
        <is>
          <t>month no.</t>
        </is>
      </c>
      <c r="E105" s="16" t="inlineStr">
        <is>
          <t>The first travelling worker arrives in month 3 on this curve. Work backwards from that, not forwards from today.</t>
        </is>
      </c>
    </row>
  </sheetData>
  <mergeCells count="11">
    <mergeCell ref="A50:E50"/>
    <mergeCell ref="A62:E62"/>
    <mergeCell ref="A15:E15"/>
    <mergeCell ref="A82:E82"/>
    <mergeCell ref="A25:E25"/>
    <mergeCell ref="A41:E41"/>
    <mergeCell ref="A33:E33"/>
    <mergeCell ref="A71:E71"/>
    <mergeCell ref="A99:E99"/>
    <mergeCell ref="A5:E5"/>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M30"/>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4" customWidth="1" min="2" max="2"/>
    <col width="27" customWidth="1" min="3" max="3"/>
    <col width="15" customWidth="1" min="4" max="4"/>
    <col width="9" customWidth="1" min="5" max="5"/>
    <col width="8" customWidth="1" min="6" max="6"/>
    <col width="8" customWidth="1" min="7" max="7"/>
    <col width="9" customWidth="1" min="8" max="8"/>
    <col width="8" customWidth="1" min="9" max="9"/>
    <col width="10" customWidth="1" min="10" max="10"/>
    <col width="17" customWidth="1" min="11" max="11"/>
    <col width="16" customWidth="1" min="12" max="12"/>
    <col width="34" customWidth="1" min="13" max="13"/>
  </cols>
  <sheetData>
    <row r="2">
      <c r="A2" s="1" t="inlineStr">
        <is>
          <t>COMPANIES AND TEAMS</t>
        </is>
      </c>
    </row>
    <row r="3">
      <c r="A3" s="3" t="inlineStr">
        <is>
          <t>Every blue cell is yours. Add or remove rows inside the block and the whole model follows — but if you add rows below the last team, extend the ranges on Workforce and BedDemand to match.</t>
        </is>
      </c>
    </row>
    <row r="4" ht="30" customHeight="1">
      <c r="A4" s="27" t="inlineStr">
        <is>
          <t>Ref</t>
        </is>
      </c>
      <c r="B4" s="27" t="inlineStr">
        <is>
          <t>Company</t>
        </is>
      </c>
      <c r="C4" s="27" t="inlineStr">
        <is>
          <t>Team / package</t>
        </is>
      </c>
      <c r="D4" s="27" t="inlineStr">
        <is>
          <t>Trade</t>
        </is>
      </c>
      <c r="E4" s="28" t="inlineStr">
        <is>
          <t>Peak</t>
        </is>
      </c>
      <c r="F4" s="28" t="inlineStr">
        <is>
          <t>Start
month</t>
        </is>
      </c>
      <c r="G4" s="28" t="inlineStr">
        <is>
          <t>At full
month</t>
        </is>
      </c>
      <c r="H4" s="28" t="inlineStr">
        <is>
          <t>Last full
month</t>
        </is>
      </c>
      <c r="I4" s="28" t="inlineStr">
        <is>
          <t>End
month</t>
        </is>
      </c>
      <c r="J4" s="28" t="inlineStr">
        <is>
          <t>Travelling
%</t>
        </is>
      </c>
      <c r="K4" s="28" t="inlineStr">
        <is>
          <t>Shift pattern</t>
        </is>
      </c>
      <c r="L4" s="28" t="inlineStr">
        <is>
          <t>Role</t>
        </is>
      </c>
      <c r="M4" s="28" t="inlineStr">
        <is>
          <t>Notes</t>
        </is>
      </c>
    </row>
    <row r="5">
      <c r="A5" s="13" t="inlineStr">
        <is>
          <t>T01</t>
        </is>
      </c>
      <c r="B5" s="13" t="inlineStr">
        <is>
          <t>Marrowbridge Infrastructure Ltd</t>
        </is>
      </c>
      <c r="C5" s="13" t="inlineStr">
        <is>
          <t>Project management team</t>
        </is>
      </c>
      <c r="D5" s="13" t="inlineStr">
        <is>
          <t>Management</t>
        </is>
      </c>
      <c r="E5" s="29" t="n">
        <v>18</v>
      </c>
      <c r="F5" s="29" t="n">
        <v>1</v>
      </c>
      <c r="G5" s="29" t="n">
        <v>3</v>
      </c>
      <c r="H5" s="29" t="n">
        <v>36</v>
      </c>
      <c r="I5" s="29" t="n">
        <v>38</v>
      </c>
      <c r="J5" s="30" t="n">
        <v>0.55</v>
      </c>
      <c r="K5" s="29" t="inlineStr">
        <is>
          <t>Days Mon–Fri</t>
        </is>
      </c>
      <c r="L5" s="29" t="inlineStr">
        <is>
          <t>Main contractor</t>
        </is>
      </c>
      <c r="M5" s="29" t="inlineStr"/>
    </row>
    <row r="6">
      <c r="A6" s="13" t="inlineStr">
        <is>
          <t>T02</t>
        </is>
      </c>
      <c r="B6" s="13" t="inlineStr">
        <is>
          <t>Marrowbridge Infrastructure Ltd</t>
        </is>
      </c>
      <c r="C6" s="13" t="inlineStr">
        <is>
          <t>Site supervision</t>
        </is>
      </c>
      <c r="D6" s="13" t="inlineStr">
        <is>
          <t>Supervision</t>
        </is>
      </c>
      <c r="E6" s="29" t="n">
        <v>20</v>
      </c>
      <c r="F6" s="29" t="n">
        <v>3</v>
      </c>
      <c r="G6" s="29" t="n">
        <v>6</v>
      </c>
      <c r="H6" s="29" t="n">
        <v>34</v>
      </c>
      <c r="I6" s="29" t="n">
        <v>36</v>
      </c>
      <c r="J6" s="30" t="n">
        <v>0.6</v>
      </c>
      <c r="K6" s="29" t="inlineStr">
        <is>
          <t>Days + back shift</t>
        </is>
      </c>
      <c r="L6" s="29" t="inlineStr">
        <is>
          <t>Main contractor</t>
        </is>
      </c>
      <c r="M6" s="29" t="inlineStr"/>
    </row>
    <row r="7">
      <c r="A7" s="13" t="inlineStr">
        <is>
          <t>T03</t>
        </is>
      </c>
      <c r="B7" s="13" t="inlineStr">
        <is>
          <t>Marrowbridge Infrastructure Ltd</t>
        </is>
      </c>
      <c r="C7" s="13" t="inlineStr">
        <is>
          <t>HSEQ &amp; quality</t>
        </is>
      </c>
      <c r="D7" s="13" t="inlineStr">
        <is>
          <t>HSEQ</t>
        </is>
      </c>
      <c r="E7" s="29" t="n">
        <v>8</v>
      </c>
      <c r="F7" s="29" t="n">
        <v>2</v>
      </c>
      <c r="G7" s="29" t="n">
        <v>4</v>
      </c>
      <c r="H7" s="29" t="n">
        <v>35</v>
      </c>
      <c r="I7" s="29" t="n">
        <v>37</v>
      </c>
      <c r="J7" s="30" t="n">
        <v>0.5</v>
      </c>
      <c r="K7" s="29" t="inlineStr">
        <is>
          <t>Days Mon–Fri</t>
        </is>
      </c>
      <c r="L7" s="29" t="inlineStr">
        <is>
          <t>Main contractor</t>
        </is>
      </c>
      <c r="M7" s="29" t="inlineStr"/>
    </row>
    <row r="8">
      <c r="A8" s="13" t="inlineStr">
        <is>
          <t>T04</t>
        </is>
      </c>
      <c r="B8" s="13" t="inlineStr">
        <is>
          <t>Redmoor Groundworks Ltd</t>
        </is>
      </c>
      <c r="C8" s="13" t="inlineStr">
        <is>
          <t>Earthworks gang A</t>
        </is>
      </c>
      <c r="D8" s="13" t="inlineStr">
        <is>
          <t>Earthworks</t>
        </is>
      </c>
      <c r="E8" s="29" t="n">
        <v>34</v>
      </c>
      <c r="F8" s="29" t="n">
        <v>3</v>
      </c>
      <c r="G8" s="29" t="n">
        <v>5</v>
      </c>
      <c r="H8" s="29" t="n">
        <v>14</v>
      </c>
      <c r="I8" s="29" t="n">
        <v>16</v>
      </c>
      <c r="J8" s="30" t="n">
        <v>0.35</v>
      </c>
      <c r="K8" s="29" t="inlineStr">
        <is>
          <t>Days 6/7</t>
        </is>
      </c>
      <c r="L8" s="29" t="inlineStr">
        <is>
          <t>Subcontractor</t>
        </is>
      </c>
      <c r="M8" s="29" t="inlineStr"/>
    </row>
    <row r="9">
      <c r="A9" s="13" t="inlineStr">
        <is>
          <t>T05</t>
        </is>
      </c>
      <c r="B9" s="13" t="inlineStr">
        <is>
          <t>Redmoor Groundworks Ltd</t>
        </is>
      </c>
      <c r="C9" s="13" t="inlineStr">
        <is>
          <t>Earthworks gang B</t>
        </is>
      </c>
      <c r="D9" s="13" t="inlineStr">
        <is>
          <t>Earthworks</t>
        </is>
      </c>
      <c r="E9" s="29" t="n">
        <v>26</v>
      </c>
      <c r="F9" s="29" t="n">
        <v>5</v>
      </c>
      <c r="G9" s="29" t="n">
        <v>7</v>
      </c>
      <c r="H9" s="29" t="n">
        <v>13</v>
      </c>
      <c r="I9" s="29" t="n">
        <v>15</v>
      </c>
      <c r="J9" s="30" t="n">
        <v>0.35</v>
      </c>
      <c r="K9" s="29" t="inlineStr">
        <is>
          <t>Days 6/7</t>
        </is>
      </c>
      <c r="L9" s="29" t="inlineStr">
        <is>
          <t>Subcontractor</t>
        </is>
      </c>
      <c r="M9" s="29" t="inlineStr"/>
    </row>
    <row r="10">
      <c r="A10" s="13" t="inlineStr">
        <is>
          <t>T06</t>
        </is>
      </c>
      <c r="B10" s="13" t="inlineStr">
        <is>
          <t>Calderbrook Civils Ltd</t>
        </is>
      </c>
      <c r="C10" s="13" t="inlineStr">
        <is>
          <t>Compound &amp; hardstanding</t>
        </is>
      </c>
      <c r="D10" s="13" t="inlineStr">
        <is>
          <t>Civils</t>
        </is>
      </c>
      <c r="E10" s="29" t="n">
        <v>30</v>
      </c>
      <c r="F10" s="29" t="n">
        <v>2</v>
      </c>
      <c r="G10" s="29" t="n">
        <v>4</v>
      </c>
      <c r="H10" s="29" t="n">
        <v>9</v>
      </c>
      <c r="I10" s="29" t="n">
        <v>11</v>
      </c>
      <c r="J10" s="30" t="n">
        <v>0.4</v>
      </c>
      <c r="K10" s="29" t="inlineStr">
        <is>
          <t>Days 6/7</t>
        </is>
      </c>
      <c r="L10" s="29" t="inlineStr">
        <is>
          <t>Subcontractor</t>
        </is>
      </c>
      <c r="M10" s="29" t="inlineStr"/>
    </row>
    <row r="11">
      <c r="A11" s="13" t="inlineStr">
        <is>
          <t>T07</t>
        </is>
      </c>
      <c r="B11" s="13" t="inlineStr">
        <is>
          <t>Calderbrook Civils Ltd</t>
        </is>
      </c>
      <c r="C11" s="13" t="inlineStr">
        <is>
          <t>Foundations &amp; structures</t>
        </is>
      </c>
      <c r="D11" s="13" t="inlineStr">
        <is>
          <t>Civils</t>
        </is>
      </c>
      <c r="E11" s="29" t="n">
        <v>33</v>
      </c>
      <c r="F11" s="29" t="n">
        <v>8</v>
      </c>
      <c r="G11" s="29" t="n">
        <v>11</v>
      </c>
      <c r="H11" s="29" t="n">
        <v>22</v>
      </c>
      <c r="I11" s="29" t="n">
        <v>25</v>
      </c>
      <c r="J11" s="30" t="n">
        <v>0.45</v>
      </c>
      <c r="K11" s="29" t="inlineStr">
        <is>
          <t>Days 6/7</t>
        </is>
      </c>
      <c r="L11" s="29" t="inlineStr">
        <is>
          <t>Subcontractor</t>
        </is>
      </c>
      <c r="M11" s="29" t="inlineStr"/>
    </row>
    <row r="12">
      <c r="A12" s="13" t="inlineStr">
        <is>
          <t>T08</t>
        </is>
      </c>
      <c r="B12" s="13" t="inlineStr">
        <is>
          <t>Calderbrook Civils Ltd</t>
        </is>
      </c>
      <c r="C12" s="13" t="inlineStr">
        <is>
          <t>Drainage &amp; ducting</t>
        </is>
      </c>
      <c r="D12" s="13" t="inlineStr">
        <is>
          <t>Civils</t>
        </is>
      </c>
      <c r="E12" s="29" t="n">
        <v>16</v>
      </c>
      <c r="F12" s="29" t="n">
        <v>6</v>
      </c>
      <c r="G12" s="29" t="n">
        <v>8</v>
      </c>
      <c r="H12" s="29" t="n">
        <v>20</v>
      </c>
      <c r="I12" s="29" t="n">
        <v>22</v>
      </c>
      <c r="J12" s="30" t="n">
        <v>0.4</v>
      </c>
      <c r="K12" s="29" t="inlineStr">
        <is>
          <t>Days 6/7</t>
        </is>
      </c>
      <c r="L12" s="29" t="inlineStr">
        <is>
          <t>Subcontractor</t>
        </is>
      </c>
      <c r="M12" s="29" t="inlineStr"/>
    </row>
    <row r="13">
      <c r="A13" s="13" t="inlineStr">
        <is>
          <t>T09</t>
        </is>
      </c>
      <c r="B13" s="13" t="inlineStr">
        <is>
          <t>Northgate Steel Ltd</t>
        </is>
      </c>
      <c r="C13" s="13" t="inlineStr">
        <is>
          <t>Steel erection</t>
        </is>
      </c>
      <c r="D13" s="13" t="inlineStr">
        <is>
          <t>Steelwork</t>
        </is>
      </c>
      <c r="E13" s="29" t="n">
        <v>33</v>
      </c>
      <c r="F13" s="29" t="n">
        <v>14</v>
      </c>
      <c r="G13" s="29" t="n">
        <v>17</v>
      </c>
      <c r="H13" s="29" t="n">
        <v>26</v>
      </c>
      <c r="I13" s="29" t="n">
        <v>29</v>
      </c>
      <c r="J13" s="30" t="n">
        <v>0.8</v>
      </c>
      <c r="K13" s="29" t="inlineStr">
        <is>
          <t>Two shift</t>
        </is>
      </c>
      <c r="L13" s="29" t="inlineStr">
        <is>
          <t>Subcontractor</t>
        </is>
      </c>
      <c r="M13" s="29" t="inlineStr"/>
    </row>
    <row r="14">
      <c r="A14" s="13" t="inlineStr">
        <is>
          <t>T10</t>
        </is>
      </c>
      <c r="B14" s="13" t="inlineStr">
        <is>
          <t>Northgate Steel Ltd</t>
        </is>
      </c>
      <c r="C14" s="13" t="inlineStr">
        <is>
          <t>Cladding &amp; envelope</t>
        </is>
      </c>
      <c r="D14" s="13" t="inlineStr">
        <is>
          <t>Envelope</t>
        </is>
      </c>
      <c r="E14" s="29" t="n">
        <v>21</v>
      </c>
      <c r="F14" s="29" t="n">
        <v>20</v>
      </c>
      <c r="G14" s="29" t="n">
        <v>22</v>
      </c>
      <c r="H14" s="29" t="n">
        <v>30</v>
      </c>
      <c r="I14" s="29" t="n">
        <v>32</v>
      </c>
      <c r="J14" s="30" t="n">
        <v>0.75</v>
      </c>
      <c r="K14" s="29" t="inlineStr">
        <is>
          <t>Two shift</t>
        </is>
      </c>
      <c r="L14" s="29" t="inlineStr">
        <is>
          <t>Subcontractor</t>
        </is>
      </c>
      <c r="M14" s="29" t="inlineStr"/>
    </row>
    <row r="15">
      <c r="A15" s="13" t="inlineStr">
        <is>
          <t>T11</t>
        </is>
      </c>
      <c r="B15" s="13" t="inlineStr">
        <is>
          <t>Ledwyn Scaffolding Ltd</t>
        </is>
      </c>
      <c r="C15" s="13" t="inlineStr">
        <is>
          <t>Scaffold gangs</t>
        </is>
      </c>
      <c r="D15" s="13" t="inlineStr">
        <is>
          <t>Scaffold</t>
        </is>
      </c>
      <c r="E15" s="29" t="n">
        <v>14</v>
      </c>
      <c r="F15" s="29" t="n">
        <v>12</v>
      </c>
      <c r="G15" s="29" t="n">
        <v>14</v>
      </c>
      <c r="H15" s="29" t="n">
        <v>30</v>
      </c>
      <c r="I15" s="29" t="n">
        <v>33</v>
      </c>
      <c r="J15" s="30" t="n">
        <v>0.7</v>
      </c>
      <c r="K15" s="29" t="inlineStr">
        <is>
          <t>Days 6/7</t>
        </is>
      </c>
      <c r="L15" s="29" t="inlineStr">
        <is>
          <t>Subcontractor</t>
        </is>
      </c>
      <c r="M15" s="29" t="inlineStr"/>
    </row>
    <row r="16">
      <c r="A16" s="13" t="inlineStr">
        <is>
          <t>T12</t>
        </is>
      </c>
      <c r="B16" s="13" t="inlineStr">
        <is>
          <t>Penmark Cable Services Ltd</t>
        </is>
      </c>
      <c r="C16" s="13" t="inlineStr">
        <is>
          <t>Cable pulling</t>
        </is>
      </c>
      <c r="D16" s="13" t="inlineStr">
        <is>
          <t>Cable</t>
        </is>
      </c>
      <c r="E16" s="29" t="n">
        <v>26</v>
      </c>
      <c r="F16" s="29" t="n">
        <v>16</v>
      </c>
      <c r="G16" s="29" t="n">
        <v>19</v>
      </c>
      <c r="H16" s="29" t="n">
        <v>30</v>
      </c>
      <c r="I16" s="29" t="n">
        <v>33</v>
      </c>
      <c r="J16" s="30" t="n">
        <v>0.85</v>
      </c>
      <c r="K16" s="29" t="inlineStr">
        <is>
          <t>Two shift</t>
        </is>
      </c>
      <c r="L16" s="29" t="inlineStr">
        <is>
          <t>Specialist</t>
        </is>
      </c>
      <c r="M16" s="29" t="inlineStr"/>
    </row>
    <row r="17">
      <c r="A17" s="13" t="inlineStr">
        <is>
          <t>T13</t>
        </is>
      </c>
      <c r="B17" s="13" t="inlineStr">
        <is>
          <t>Penmark Cable Services Ltd</t>
        </is>
      </c>
      <c r="C17" s="13" t="inlineStr">
        <is>
          <t>Jointing &amp; terminations</t>
        </is>
      </c>
      <c r="D17" s="13" t="inlineStr">
        <is>
          <t>Cable</t>
        </is>
      </c>
      <c r="E17" s="29" t="n">
        <v>19</v>
      </c>
      <c r="F17" s="29" t="n">
        <v>22</v>
      </c>
      <c r="G17" s="29" t="n">
        <v>25</v>
      </c>
      <c r="H17" s="29" t="n">
        <v>33</v>
      </c>
      <c r="I17" s="29" t="n">
        <v>35</v>
      </c>
      <c r="J17" s="30" t="n">
        <v>0.9</v>
      </c>
      <c r="K17" s="29" t="inlineStr">
        <is>
          <t>Two shift</t>
        </is>
      </c>
      <c r="L17" s="29" t="inlineStr">
        <is>
          <t>Specialist</t>
        </is>
      </c>
      <c r="M17" s="29" t="inlineStr"/>
    </row>
    <row r="18">
      <c r="A18" s="13" t="inlineStr">
        <is>
          <t>T14</t>
        </is>
      </c>
      <c r="B18" s="13" t="inlineStr">
        <is>
          <t>Ashfell M&amp;E Ltd</t>
        </is>
      </c>
      <c r="C18" s="13" t="inlineStr">
        <is>
          <t>Mechanical installation</t>
        </is>
      </c>
      <c r="D18" s="13" t="inlineStr">
        <is>
          <t>M&amp;E</t>
        </is>
      </c>
      <c r="E18" s="29" t="n">
        <v>24</v>
      </c>
      <c r="F18" s="29" t="n">
        <v>20</v>
      </c>
      <c r="G18" s="29" t="n">
        <v>23</v>
      </c>
      <c r="H18" s="29" t="n">
        <v>32</v>
      </c>
      <c r="I18" s="29" t="n">
        <v>34</v>
      </c>
      <c r="J18" s="30" t="n">
        <v>0.7</v>
      </c>
      <c r="K18" s="29" t="inlineStr">
        <is>
          <t>Days 6/7</t>
        </is>
      </c>
      <c r="L18" s="29" t="inlineStr">
        <is>
          <t>Subcontractor</t>
        </is>
      </c>
      <c r="M18" s="29" t="inlineStr"/>
    </row>
    <row r="19">
      <c r="A19" s="13" t="inlineStr">
        <is>
          <t>T15</t>
        </is>
      </c>
      <c r="B19" s="13" t="inlineStr">
        <is>
          <t>Ashfell M&amp;E Ltd</t>
        </is>
      </c>
      <c r="C19" s="13" t="inlineStr">
        <is>
          <t>Electrical installation</t>
        </is>
      </c>
      <c r="D19" s="13" t="inlineStr">
        <is>
          <t>M&amp;E</t>
        </is>
      </c>
      <c r="E19" s="29" t="n">
        <v>28</v>
      </c>
      <c r="F19" s="29" t="n">
        <v>21</v>
      </c>
      <c r="G19" s="29" t="n">
        <v>24</v>
      </c>
      <c r="H19" s="29" t="n">
        <v>33</v>
      </c>
      <c r="I19" s="29" t="n">
        <v>35</v>
      </c>
      <c r="J19" s="30" t="n">
        <v>0.7</v>
      </c>
      <c r="K19" s="29" t="inlineStr">
        <is>
          <t>Days 6/7</t>
        </is>
      </c>
      <c r="L19" s="29" t="inlineStr">
        <is>
          <t>Subcontractor</t>
        </is>
      </c>
      <c r="M19" s="29" t="inlineStr"/>
    </row>
    <row r="20">
      <c r="A20" s="13" t="inlineStr">
        <is>
          <t>T16</t>
        </is>
      </c>
      <c r="B20" s="13" t="inlineStr">
        <is>
          <t>Ironvale Welding Ltd</t>
        </is>
      </c>
      <c r="C20" s="13" t="inlineStr">
        <is>
          <t>Pipe &amp; vessel welding</t>
        </is>
      </c>
      <c r="D20" s="13" t="inlineStr">
        <is>
          <t>Welding</t>
        </is>
      </c>
      <c r="E20" s="29" t="n">
        <v>14</v>
      </c>
      <c r="F20" s="29" t="n">
        <v>22</v>
      </c>
      <c r="G20" s="29" t="n">
        <v>24</v>
      </c>
      <c r="H20" s="29" t="n">
        <v>31</v>
      </c>
      <c r="I20" s="29" t="n">
        <v>33</v>
      </c>
      <c r="J20" s="30" t="n">
        <v>0.9</v>
      </c>
      <c r="K20" s="29" t="inlineStr">
        <is>
          <t>Two shift</t>
        </is>
      </c>
      <c r="L20" s="29" t="inlineStr">
        <is>
          <t>Specialist</t>
        </is>
      </c>
      <c r="M20" s="29" t="inlineStr"/>
    </row>
    <row r="21">
      <c r="A21" s="13" t="inlineStr">
        <is>
          <t>T17</t>
        </is>
      </c>
      <c r="B21" s="13" t="inlineStr">
        <is>
          <t>Vellamo Power Systems Ltd</t>
        </is>
      </c>
      <c r="C21" s="13" t="inlineStr">
        <is>
          <t>HV plant installation</t>
        </is>
      </c>
      <c r="D21" s="13" t="inlineStr">
        <is>
          <t>HV plant</t>
        </is>
      </c>
      <c r="E21" s="29" t="n">
        <v>20</v>
      </c>
      <c r="F21" s="29" t="n">
        <v>26</v>
      </c>
      <c r="G21" s="29" t="n">
        <v>28</v>
      </c>
      <c r="H21" s="29" t="n">
        <v>34</v>
      </c>
      <c r="I21" s="29" t="n">
        <v>36</v>
      </c>
      <c r="J21" s="30" t="n">
        <v>0.85</v>
      </c>
      <c r="K21" s="29" t="inlineStr">
        <is>
          <t>Days 6/7</t>
        </is>
      </c>
      <c r="L21" s="29" t="inlineStr">
        <is>
          <t>Specialist</t>
        </is>
      </c>
      <c r="M21" s="29" t="inlineStr"/>
    </row>
    <row r="22">
      <c r="A22" s="13" t="inlineStr">
        <is>
          <t>T18</t>
        </is>
      </c>
      <c r="B22" s="13" t="inlineStr">
        <is>
          <t>Southgate Testing &amp; Commissioning Ltd</t>
        </is>
      </c>
      <c r="C22" s="13" t="inlineStr">
        <is>
          <t>Testing &amp; commissioning</t>
        </is>
      </c>
      <c r="D22" s="13" t="inlineStr">
        <is>
          <t>Commissioning</t>
        </is>
      </c>
      <c r="E22" s="29" t="n">
        <v>18</v>
      </c>
      <c r="F22" s="29" t="n">
        <v>30</v>
      </c>
      <c r="G22" s="29" t="n">
        <v>32</v>
      </c>
      <c r="H22" s="29" t="n">
        <v>37</v>
      </c>
      <c r="I22" s="29" t="n">
        <v>38</v>
      </c>
      <c r="J22" s="30" t="n">
        <v>0.95</v>
      </c>
      <c r="K22" s="29" t="inlineStr">
        <is>
          <t>Days + call out</t>
        </is>
      </c>
      <c r="L22" s="29" t="inlineStr">
        <is>
          <t>Specialist</t>
        </is>
      </c>
      <c r="M22" s="29" t="inlineStr"/>
    </row>
    <row r="23">
      <c r="A23" s="13" t="inlineStr">
        <is>
          <t>T19</t>
        </is>
      </c>
      <c r="B23" s="13" t="inlineStr">
        <is>
          <t>Tarnhow Logistics Ltd</t>
        </is>
      </c>
      <c r="C23" s="13" t="inlineStr">
        <is>
          <t>Plant, cranes &amp; logistics</t>
        </is>
      </c>
      <c r="D23" s="13" t="inlineStr">
        <is>
          <t>Logistics</t>
        </is>
      </c>
      <c r="E23" s="29" t="n">
        <v>14</v>
      </c>
      <c r="F23" s="29" t="n">
        <v>2</v>
      </c>
      <c r="G23" s="29" t="n">
        <v>4</v>
      </c>
      <c r="H23" s="29" t="n">
        <v>34</v>
      </c>
      <c r="I23" s="29" t="n">
        <v>37</v>
      </c>
      <c r="J23" s="30" t="n">
        <v>0.45</v>
      </c>
      <c r="K23" s="29" t="inlineStr">
        <is>
          <t>Days 6/7</t>
        </is>
      </c>
      <c r="L23" s="29" t="inlineStr">
        <is>
          <t>Subcontractor</t>
        </is>
      </c>
      <c r="M23" s="29" t="inlineStr"/>
    </row>
    <row r="24">
      <c r="A24" s="13" t="inlineStr">
        <is>
          <t>T20</t>
        </is>
      </c>
      <c r="B24" s="13" t="inlineStr">
        <is>
          <t>Brightbay Facilities Management Ltd</t>
        </is>
      </c>
      <c r="C24" s="13" t="inlineStr">
        <is>
          <t>Village operations</t>
        </is>
      </c>
      <c r="D24" s="13" t="inlineStr">
        <is>
          <t>Village ops</t>
        </is>
      </c>
      <c r="E24" s="29" t="n">
        <v>22</v>
      </c>
      <c r="F24" s="29" t="n">
        <v>1</v>
      </c>
      <c r="G24" s="29" t="n">
        <v>3</v>
      </c>
      <c r="H24" s="29" t="n">
        <v>37</v>
      </c>
      <c r="I24" s="29" t="n">
        <v>38</v>
      </c>
      <c r="J24" s="30" t="n">
        <v>0.3</v>
      </c>
      <c r="K24" s="29" t="inlineStr">
        <is>
          <t>24/7 rota</t>
        </is>
      </c>
      <c r="L24" s="29" t="inlineStr">
        <is>
          <t>Village operator</t>
        </is>
      </c>
      <c r="M24" s="29" t="inlineStr"/>
    </row>
    <row r="25">
      <c r="A25" s="13" t="inlineStr">
        <is>
          <t>T21</t>
        </is>
      </c>
      <c r="B25" s="13" t="inlineStr">
        <is>
          <t>Kestrel Security Ltd</t>
        </is>
      </c>
      <c r="C25" s="13" t="inlineStr">
        <is>
          <t>Site &amp; village security</t>
        </is>
      </c>
      <c r="D25" s="13" t="inlineStr">
        <is>
          <t>Security</t>
        </is>
      </c>
      <c r="E25" s="29" t="n">
        <v>12</v>
      </c>
      <c r="F25" s="29" t="n">
        <v>1</v>
      </c>
      <c r="G25" s="29" t="n">
        <v>2</v>
      </c>
      <c r="H25" s="29" t="n">
        <v>38</v>
      </c>
      <c r="I25" s="29" t="n">
        <v>38</v>
      </c>
      <c r="J25" s="30" t="n">
        <v>0.25</v>
      </c>
      <c r="K25" s="29" t="inlineStr">
        <is>
          <t>24/7 rota</t>
        </is>
      </c>
      <c r="L25" s="29" t="inlineStr">
        <is>
          <t>Village operator</t>
        </is>
      </c>
      <c r="M25" s="29" t="inlineStr"/>
    </row>
    <row r="26">
      <c r="A26" s="13" t="inlineStr">
        <is>
          <t>T22</t>
        </is>
      </c>
      <c r="B26" s="13" t="inlineStr">
        <is>
          <t>Hollins Catering Ltd</t>
        </is>
      </c>
      <c r="C26" s="13" t="inlineStr">
        <is>
          <t>Catering &amp; housekeeping</t>
        </is>
      </c>
      <c r="D26" s="13" t="inlineStr">
        <is>
          <t>Catering</t>
        </is>
      </c>
      <c r="E26" s="29" t="n">
        <v>14</v>
      </c>
      <c r="F26" s="29" t="n">
        <v>2</v>
      </c>
      <c r="G26" s="29" t="n">
        <v>4</v>
      </c>
      <c r="H26" s="29" t="n">
        <v>37</v>
      </c>
      <c r="I26" s="29" t="n">
        <v>38</v>
      </c>
      <c r="J26" s="30" t="n">
        <v>0.4</v>
      </c>
      <c r="K26" s="29" t="inlineStr">
        <is>
          <t>Split shift</t>
        </is>
      </c>
      <c r="L26" s="29" t="inlineStr">
        <is>
          <t>Village operator</t>
        </is>
      </c>
      <c r="M26" s="29" t="inlineStr"/>
    </row>
    <row r="28">
      <c r="B28" s="6" t="inlineStr">
        <is>
          <t>Companies represented</t>
        </is>
      </c>
      <c r="E28" s="4">
        <f>SUMPRODUCT(1/COUNTIF(B5:B26,B5:B26))</f>
        <v/>
      </c>
    </row>
    <row r="29">
      <c r="B29" s="6" t="inlineStr">
        <is>
          <t>Teams</t>
        </is>
      </c>
      <c r="E29" s="4">
        <f>COUNTA(A5:A26)</f>
        <v/>
      </c>
    </row>
    <row r="30">
      <c r="B30" s="4" t="inlineStr">
        <is>
          <t>Sum of team peaks (not the site peak — teams peak at different times)</t>
        </is>
      </c>
      <c r="E30" s="4">
        <f>SUM(E5:E26)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2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8" customWidth="1" min="2" max="2"/>
    <col width="24" customWidth="1" min="3" max="3"/>
    <col width="30" customWidth="1" min="4" max="4"/>
    <col width="58" customWidth="1" min="5" max="5"/>
    <col width="44" customWidth="1" min="6" max="6"/>
  </cols>
  <sheetData>
    <row r="2">
      <c r="B2" s="1" t="inlineStr">
        <is>
          <t>THE FIVE PACKAGES — AND WHAT FALLS BETWEEN THEM</t>
        </is>
      </c>
    </row>
    <row r="3">
      <c r="B3" s="3" t="inlineStr">
        <is>
          <t>Five packages is a clean way to buy a village. It also creates fifteen interfaces, and a village fails at the interfaces, not inside the packages. The second table is the one to argue about before anything is let.</t>
        </is>
      </c>
    </row>
    <row r="5">
      <c r="B5" s="83" t="inlineStr">
        <is>
          <t>Ref</t>
        </is>
      </c>
      <c r="C5" s="83" t="inlineStr">
        <is>
          <t>Package</t>
        </is>
      </c>
      <c r="D5" s="83" t="inlineStr">
        <is>
          <t>In one line</t>
        </is>
      </c>
      <c r="E5" s="83" t="inlineStr">
        <is>
          <t>What is in it</t>
        </is>
      </c>
      <c r="F5" s="83" t="inlineStr">
        <is>
          <t>What is expressly NOT in it</t>
        </is>
      </c>
    </row>
    <row r="6" ht="96" customHeight="1">
      <c r="B6" s="84" t="inlineStr">
        <is>
          <t>P1</t>
        </is>
      </c>
      <c r="C6" s="84" t="inlineStr">
        <is>
          <t>Civil works</t>
        </is>
      </c>
      <c r="D6" s="84" t="inlineStr">
        <is>
          <t>Everything below and between the buildings</t>
        </is>
      </c>
      <c r="E6" s="84" t="inlineStr">
        <is>
          <t>Site clearance, cut and fill, ground improvement · foundations, bases and plinths for every module · roads, hardstanding, footpaths, parking · surface and foul drainage · incoming utility infrastructure to the module connection point · fencing, gates, lighting columns · landscaping · reinstatement at the end</t>
        </is>
      </c>
      <c r="F6" s="84" t="inlineStr">
        <is>
          <t>Above the module connection point · anything inside a module · maintenance of roads and drainage once the village is live</t>
        </is>
      </c>
    </row>
    <row r="7" ht="96" customHeight="1">
      <c r="B7" s="84" t="inlineStr">
        <is>
          <t>P2</t>
        </is>
      </c>
      <c r="C7" s="84" t="inlineStr">
        <is>
          <t>Modular accommodation</t>
        </is>
      </c>
      <c r="D7" s="84" t="inlineStr">
        <is>
          <t>The buildings, delivered and connected</t>
        </is>
      </c>
      <c r="E7" s="84" t="inlineStr">
        <is>
          <t>Bedroom blocks · amenity buildings (gym, social, laundry, drying) · reception and village office · corridors, stairs, fire compartmentation · module transport, craneage and setting out · internal M&amp;E within the module · connection to the civils' termination points · commissioning of the building services</t>
        </is>
      </c>
      <c r="F7" s="84" t="inlineStr">
        <is>
          <t>Ground preparation and bases · loose furniture · catering equipment · operation</t>
        </is>
      </c>
    </row>
    <row r="8" ht="96" customHeight="1">
      <c r="B8" s="84" t="inlineStr">
        <is>
          <t>P3</t>
        </is>
      </c>
      <c r="C8" s="84" t="inlineStr">
        <is>
          <t>Kitchen</t>
        </is>
      </c>
      <c r="D8" s="84" t="inlineStr">
        <is>
          <t>The catering facility as a working kitchen</t>
        </is>
      </c>
      <c r="E8" s="84" t="inlineStr">
        <is>
          <t>Kitchen fit-out, servery and wash-up · cold and dry stores · extraction, interlocks and gas safety · catering equipment supply and commissioning · food hygiene registration support · dining room servery counters</t>
        </is>
      </c>
      <c r="F8" s="84" t="inlineStr">
        <is>
          <t>The building shell (P2) · dining tables and chairs (P4) · the people who cook (P5)</t>
        </is>
      </c>
    </row>
    <row r="9" ht="96" customHeight="1">
      <c r="B9" s="84" t="inlineStr">
        <is>
          <t>P4</t>
        </is>
      </c>
      <c r="C9" s="84" t="inlineStr">
        <is>
          <t>Furniture</t>
        </is>
      </c>
      <c r="D9" s="84" t="inlineStr">
        <is>
          <t>Everything loose, in every room</t>
        </is>
      </c>
      <c r="E9" s="84" t="inlineStr">
        <is>
          <t>Bed, mattress, wardrobe, desk, chair, storage per bedroom · soft furnishings, curtains, floor coverings if loose · dining tables and chairs · social and gym furniture · office and reception furniture · white goods in laundries · signage</t>
        </is>
      </c>
      <c r="F9" s="84" t="inlineStr">
        <is>
          <t>Fixed joinery inside modules (P2) · catering equipment (P3) · replacement of damaged items in operation (P5)</t>
        </is>
      </c>
    </row>
    <row r="10" ht="96" customHeight="1">
      <c r="B10" s="84" t="inlineStr">
        <is>
          <t>P5</t>
        </is>
      </c>
      <c r="C10" s="84" t="inlineStr">
        <is>
          <t>FM and operation</t>
        </is>
      </c>
      <c r="D10" s="84" t="inlineStr">
        <is>
          <t>Running it for 38 months</t>
        </is>
      </c>
      <c r="E10" s="84" t="inlineStr">
        <is>
          <t>Village management, reception 24/7, security 24/7 · housekeeping and linen · catering operation and food supply · maintenance, grounds and waste · transport and drivers · utilities management and metering · resident welfare, inductions and complaints · statutory compliance in operation — legionella, fire, gas, electrical, food hygiene</t>
        </is>
      </c>
      <c r="F10" s="84" t="inlineStr">
        <is>
          <t>Capital replacement · anything that is a defect under P1–P4</t>
        </is>
      </c>
    </row>
    <row r="13" ht="20" customHeight="1">
      <c r="A13" s="9" t="inlineStr">
        <is>
          <t xml:space="preserve">   THE INTERFACES — WHERE THE MONEY AND THE ARGUMENTS ARE</t>
        </is>
      </c>
    </row>
    <row r="14">
      <c r="B14" s="89" t="inlineStr">
        <is>
          <t>Ref</t>
        </is>
      </c>
      <c r="C14" s="89" t="inlineStr">
        <is>
          <t>Between</t>
        </is>
      </c>
      <c r="D14" s="89" t="inlineStr">
        <is>
          <t>The interface</t>
        </is>
      </c>
      <c r="E14" s="89" t="inlineStr">
        <is>
          <t>What fails if nobody owns it</t>
        </is>
      </c>
      <c r="F14" s="89" t="inlineStr">
        <is>
          <t>Where it should sit</t>
        </is>
      </c>
    </row>
    <row r="15" ht="46" customHeight="1">
      <c r="B15" s="84" t="inlineStr">
        <is>
          <t>IF-01</t>
        </is>
      </c>
      <c r="C15" s="84" t="inlineStr">
        <is>
          <t>P1 ↔ P2</t>
        </is>
      </c>
      <c r="D15" s="84" t="inlineStr">
        <is>
          <t>Setting-out, levels and base tolerance for every module</t>
        </is>
      </c>
      <c r="E15" s="84" t="inlineStr">
        <is>
          <t>Modules arrive to bases that are out of tolerance. Craneage stands, the programme slips a week per block, and neither party accepts the levels.</t>
        </is>
      </c>
      <c r="F15" s="84" t="inlineStr">
        <is>
          <t>P1 sets out and certifies levels to the module supplier's tolerance, in writing, before delivery.</t>
        </is>
      </c>
    </row>
    <row r="16" ht="46" customHeight="1">
      <c r="B16" s="84" t="inlineStr">
        <is>
          <t>IF-02</t>
        </is>
      </c>
      <c r="C16" s="84" t="inlineStr">
        <is>
          <t>P1 ↔ P2</t>
        </is>
      </c>
      <c r="D16" s="84" t="inlineStr">
        <is>
          <t>The utility termination point — exactly where civils stop and the module starts</t>
        </is>
      </c>
      <c r="E16" s="84" t="inlineStr">
        <is>
          <t>Water, foul, power and comms arrive near the module but not connected to it. Two contractors each price to the other's boundary and neither crosses it.</t>
        </is>
      </c>
      <c r="F16" s="84" t="inlineStr">
        <is>
          <t>One drawing showing a termination point per service per block, signed by both. This is the commonest village dispute there is.</t>
        </is>
      </c>
    </row>
    <row r="17" ht="46" customHeight="1">
      <c r="B17" s="84" t="inlineStr">
        <is>
          <t>IF-03</t>
        </is>
      </c>
      <c r="C17" s="84" t="inlineStr">
        <is>
          <t>P2 ↔ P3</t>
        </is>
      </c>
      <c r="D17" s="84" t="inlineStr">
        <is>
          <t>Whether the kitchen is a module or a fit-out into a shell</t>
        </is>
      </c>
      <c r="E17" s="84" t="inlineStr">
        <is>
          <t>The kitchen is ordered twice or not at all. Extraction penetrations are not in the module drawing and get cut on site.</t>
        </is>
      </c>
      <c r="F17" s="84" t="inlineStr">
        <is>
          <t>Decide before P2 is ordered. If a fit-out, P2 supplies a shell with agreed penetrations, floor loading and drainage falls.</t>
        </is>
      </c>
    </row>
    <row r="18" ht="46" customHeight="1">
      <c r="B18" s="84" t="inlineStr">
        <is>
          <t>IF-04</t>
        </is>
      </c>
      <c r="C18" s="84" t="inlineStr">
        <is>
          <t>P3 ↔ P4</t>
        </is>
      </c>
      <c r="D18" s="84" t="inlineStr">
        <is>
          <t>Dining tables and chairs</t>
        </is>
      </c>
      <c r="E18" s="84" t="inlineStr">
        <is>
          <t>The dining room has a servery and no seats on opening day. Both packages assumed the other had it.</t>
        </is>
      </c>
      <c r="F18" s="84" t="inlineStr">
        <is>
          <t>P4. Anything loose is furniture, including in the dining room — say so in both scopes.</t>
        </is>
      </c>
    </row>
    <row r="19" ht="46" customHeight="1">
      <c r="B19" s="84" t="inlineStr">
        <is>
          <t>IF-05</t>
        </is>
      </c>
      <c r="C19" s="84" t="inlineStr">
        <is>
          <t>P2 ↔ P4</t>
        </is>
      </c>
      <c r="D19" s="84" t="inlineStr">
        <is>
          <t>Fixed joinery versus loose furniture in the bedroom</t>
        </is>
      </c>
      <c r="E19" s="84" t="inlineStr">
        <is>
          <t>Wardrobes and desks are either duplicated or missing. Modular suppliers vary on what is included as standard.</t>
        </is>
      </c>
      <c r="F19" s="84" t="inlineStr">
        <is>
          <t>Fix the bedroom specification item by item before either package is let, and attach it to both.</t>
        </is>
      </c>
    </row>
    <row r="20" ht="46" customHeight="1">
      <c r="B20" s="84" t="inlineStr">
        <is>
          <t>IF-06</t>
        </is>
      </c>
      <c r="C20" s="84" t="inlineStr">
        <is>
          <t>P4 ↔ P5</t>
        </is>
      </c>
      <c r="D20" s="84" t="inlineStr">
        <is>
          <t>Replacement of damaged or worn furniture over 38 months</t>
        </is>
      </c>
      <c r="E20" s="84" t="inlineStr">
        <is>
          <t>Broken beds are nobody's, and rooms go out of service. Void rate rises and nobody can say why.</t>
        </is>
      </c>
      <c r="F20" s="84" t="inlineStr">
        <is>
          <t>P5, from a replacement allowance funded in Opex, with a stock level agreed at handover.</t>
        </is>
      </c>
    </row>
    <row r="21" ht="46" customHeight="1">
      <c r="B21" s="84" t="inlineStr">
        <is>
          <t>IF-07</t>
        </is>
      </c>
      <c r="C21" s="84" t="inlineStr">
        <is>
          <t>P1 ↔ P5</t>
        </is>
      </c>
      <c r="D21" s="84" t="inlineStr">
        <is>
          <t>Maintenance of roads, drainage, lighting and grounds in operation</t>
        </is>
      </c>
      <c r="E21" s="84" t="inlineStr">
        <is>
          <t>Gullies block, the car park floods, the access degrades under bus traffic and there is no maintenance budget.</t>
        </is>
      </c>
      <c r="F21" s="84" t="inlineStr">
        <is>
          <t>P5, with a condition survey at handover defining the standard being taken on.</t>
        </is>
      </c>
    </row>
    <row r="22" ht="46" customHeight="1">
      <c r="B22" s="84" t="inlineStr">
        <is>
          <t>IF-08</t>
        </is>
      </c>
      <c r="C22" s="84" t="inlineStr">
        <is>
          <t>P3 ↔ P5</t>
        </is>
      </c>
      <c r="D22" s="84" t="inlineStr">
        <is>
          <t>Ownership and maintenance of catering equipment, and who holds the hygiene registration</t>
        </is>
      </c>
      <c r="E22" s="84" t="inlineStr">
        <is>
          <t>Equipment fails, warranty is disputed, and the registration is in the wrong name at the first inspection.</t>
        </is>
      </c>
      <c r="F22" s="84" t="inlineStr">
        <is>
          <t>P5 holds the registration and the maintenance; P3 hands over with warranties assigned and an asset register.</t>
        </is>
      </c>
    </row>
    <row r="23" ht="46" customHeight="1">
      <c r="B23" s="84" t="inlineStr">
        <is>
          <t>IF-09</t>
        </is>
      </c>
      <c r="C23" s="84" t="inlineStr">
        <is>
          <t>P2 ↔ P5</t>
        </is>
      </c>
      <c r="D23" s="84" t="inlineStr">
        <is>
          <t>Building services commissioning, handover and the defects period</t>
        </is>
      </c>
      <c r="E23" s="84" t="inlineStr">
        <is>
          <t>The village is occupied before commissioning is complete, and defects become operational problems nobody logs.</t>
        </is>
      </c>
      <c r="F23" s="84" t="inlineStr">
        <is>
          <t>No occupation before commissioning sign-off. A defects liaison route in P5's scope from day one.</t>
        </is>
      </c>
    </row>
    <row r="24" ht="46" customHeight="1">
      <c r="B24" s="84" t="inlineStr">
        <is>
          <t>IF-10</t>
        </is>
      </c>
      <c r="C24" s="84" t="inlineStr">
        <is>
          <t>P2 ↔ P5</t>
        </is>
      </c>
      <c r="D24" s="84" t="inlineStr">
        <is>
          <t>Legionella duty from first fill of the water system</t>
        </is>
      </c>
      <c r="E24" s="84" t="inlineStr">
        <is>
          <t>The system is filled at installation and sits at low occupancy for weeks. The duty starts at fill; nobody has started flushing.</t>
        </is>
      </c>
      <c r="F24" s="84" t="inlineStr">
        <is>
          <t>P5 takes the water safety plan from first fill, not from first occupation. Write it into P2's handover.</t>
        </is>
      </c>
    </row>
    <row r="25" ht="46" customHeight="1">
      <c r="B25" s="84" t="inlineStr">
        <is>
          <t>IF-11</t>
        </is>
      </c>
      <c r="C25" s="84" t="inlineStr">
        <is>
          <t>P1 ↔ P3</t>
        </is>
      </c>
      <c r="D25" s="84" t="inlineStr">
        <is>
          <t>Kitchen drainage, grease interceptor and its maintenance</t>
        </is>
      </c>
      <c r="E25" s="84" t="inlineStr">
        <is>
          <t>The interceptor is installed by one and never emptied by anyone.</t>
        </is>
      </c>
      <c r="F25" s="84" t="inlineStr">
        <is>
          <t>P1 installs to P3's specification; P5 maintains it on a stated frequency.</t>
        </is>
      </c>
    </row>
    <row r="26" ht="46" customHeight="1">
      <c r="B26" s="84" t="inlineStr">
        <is>
          <t>IF-12</t>
        </is>
      </c>
      <c r="C26" s="84" t="inlineStr">
        <is>
          <t>P2 ↔ P3 ↔ P5</t>
        </is>
      </c>
      <c r="D26" s="84" t="inlineStr">
        <is>
          <t>Fire strategy across the whole village, not package by package</t>
        </is>
      </c>
      <c r="E26" s="84" t="inlineStr">
        <is>
          <t>Each package is compliant alone and the village is not. Compartmentation, detection and escape do not join up between blocks and the kitchen.</t>
        </is>
      </c>
      <c r="F26" s="84" t="inlineStr">
        <is>
          <t>One fire engineer over all five packages, appointed before any of them is let. This is not a package interface to negotiate — it is a single design.</t>
        </is>
      </c>
    </row>
    <row r="27" ht="46" customHeight="1">
      <c r="B27" s="84" t="inlineStr">
        <is>
          <t>IF-13</t>
        </is>
      </c>
      <c r="C27" s="84" t="inlineStr">
        <is>
          <t>P4 ↔ P5</t>
        </is>
      </c>
      <c r="D27" s="84" t="inlineStr">
        <is>
          <t>Handover inventory and condition</t>
        </is>
      </c>
      <c r="E27" s="84" t="inlineStr">
        <is>
          <t>Nothing is signed for, so nothing is anyone's at the end. Dilapidations become an argument in month 38.</t>
        </is>
      </c>
      <c r="F27" s="84" t="inlineStr">
        <is>
          <t>A room-by-room inventory signed at handover and at demobilisation.</t>
        </is>
      </c>
    </row>
    <row r="28" ht="46" customHeight="1">
      <c r="B28" s="84" t="inlineStr">
        <is>
          <t>IF-14</t>
        </is>
      </c>
      <c r="C28" s="84" t="inlineStr">
        <is>
          <t>P1 ↔ P2 ↔ P5</t>
        </is>
      </c>
      <c r="D28" s="84" t="inlineStr">
        <is>
          <t>Demobilisation and reinstatement — who removes what, and to what standard</t>
        </is>
      </c>
      <c r="E28" s="84" t="inlineStr">
        <is>
          <t>Modules go, bases stay, and the reinstatement condition in the planning consent is unmet.</t>
        </is>
      </c>
      <c r="F28" s="84" t="inlineStr">
        <is>
          <t>Scope it at the start, price it in Capex, and hold it. It is in the consent whether or not it is in a contract.</t>
        </is>
      </c>
    </row>
    <row r="29" ht="46" customHeight="1">
      <c r="B29" s="84" t="inlineStr">
        <is>
          <t>IF-15</t>
        </is>
      </c>
      <c r="C29" s="84" t="inlineStr">
        <is>
          <t>All five ↔ the project</t>
        </is>
      </c>
      <c r="D29" s="84" t="inlineStr">
        <is>
          <t>One accountable owner for the village as a system</t>
        </is>
      </c>
      <c r="E29" s="84" t="inlineStr">
        <is>
          <t>Five suppliers each doing their scope correctly while nobody owns whether the village works. This is precisely the gap ETABLIX exists to close.</t>
        </is>
      </c>
      <c r="F29" s="84" t="inlineStr">
        <is>
          <t>A single integrator over all five, with the interface register above as their instrument.</t>
        </is>
      </c>
    </row>
  </sheetData>
  <mergeCells count="1">
    <mergeCell ref="A13:F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AN34"/>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4" customWidth="1" min="2" max="2"/>
    <col width="6.6" customWidth="1" min="3" max="3"/>
    <col width="6.6" customWidth="1" min="4" max="4"/>
    <col width="6.6" customWidth="1" min="5" max="5"/>
    <col width="6.6" customWidth="1" min="6" max="6"/>
    <col width="6.6" customWidth="1" min="7" max="7"/>
    <col width="6.6" customWidth="1" min="8" max="8"/>
    <col width="6.6" customWidth="1" min="9" max="9"/>
    <col width="6.6" customWidth="1" min="10" max="10"/>
    <col width="6.6" customWidth="1" min="11" max="11"/>
    <col width="6.6" customWidth="1" min="12" max="12"/>
    <col width="6.6" customWidth="1" min="13" max="13"/>
    <col width="6.6" customWidth="1" min="14" max="14"/>
    <col width="6.6" customWidth="1" min="15" max="15"/>
    <col width="6.6" customWidth="1" min="16" max="16"/>
    <col width="6.6" customWidth="1" min="17" max="17"/>
    <col width="6.6" customWidth="1" min="18" max="18"/>
    <col width="6.6" customWidth="1" min="19" max="19"/>
    <col width="6.6" customWidth="1" min="20" max="20"/>
    <col width="6.6" customWidth="1" min="21" max="21"/>
    <col width="6.6" customWidth="1" min="22" max="22"/>
    <col width="6.6" customWidth="1" min="23" max="23"/>
    <col width="6.6" customWidth="1" min="24" max="24"/>
    <col width="6.6" customWidth="1" min="25" max="25"/>
    <col width="6.6" customWidth="1" min="26" max="26"/>
    <col width="6.6" customWidth="1" min="27" max="27"/>
    <col width="6.6" customWidth="1" min="28" max="28"/>
    <col width="6.6" customWidth="1" min="29" max="29"/>
    <col width="6.6" customWidth="1" min="30" max="30"/>
    <col width="6.6" customWidth="1" min="31" max="31"/>
    <col width="6.6" customWidth="1" min="32" max="32"/>
    <col width="6.6" customWidth="1" min="33" max="33"/>
    <col width="6.6" customWidth="1" min="34" max="34"/>
    <col width="6.6" customWidth="1" min="35" max="35"/>
    <col width="6.6" customWidth="1" min="36" max="36"/>
    <col width="6.6" customWidth="1" min="37" max="37"/>
    <col width="6.6" customWidth="1" min="38" max="38"/>
    <col width="6.6" customWidth="1" min="39" max="39"/>
    <col width="6.6" customWidth="1" min="40" max="40"/>
  </cols>
  <sheetData>
    <row r="2">
      <c r="A2" s="1" t="inlineStr">
        <is>
          <t>WORKFORCE CURVE — HEADCOUNT BY TEAM, BY MONTH</t>
        </is>
      </c>
    </row>
    <row r="3">
      <c r="A3" s="3" t="inlineStr">
        <is>
          <t>Calculated from Teams. Nothing here is typed. A team ramps from its start month to full, holds, then ramps down to its end month.</t>
        </is>
      </c>
    </row>
    <row r="5">
      <c r="B5" s="6" t="inlineStr">
        <is>
          <t>Month label</t>
        </is>
      </c>
      <c r="C5" s="31">
        <f>TEXT(EDATE(Assumptions!$C$10,0),"mmm-yy")</f>
        <v/>
      </c>
      <c r="D5" s="31">
        <f>TEXT(EDATE(Assumptions!$C$10,1),"mmm-yy")</f>
        <v/>
      </c>
      <c r="E5" s="31">
        <f>TEXT(EDATE(Assumptions!$C$10,2),"mmm-yy")</f>
        <v/>
      </c>
      <c r="F5" s="31">
        <f>TEXT(EDATE(Assumptions!$C$10,3),"mmm-yy")</f>
        <v/>
      </c>
      <c r="G5" s="31">
        <f>TEXT(EDATE(Assumptions!$C$10,4),"mmm-yy")</f>
        <v/>
      </c>
      <c r="H5" s="31">
        <f>TEXT(EDATE(Assumptions!$C$10,5),"mmm-yy")</f>
        <v/>
      </c>
      <c r="I5" s="31">
        <f>TEXT(EDATE(Assumptions!$C$10,6),"mmm-yy")</f>
        <v/>
      </c>
      <c r="J5" s="31">
        <f>TEXT(EDATE(Assumptions!$C$10,7),"mmm-yy")</f>
        <v/>
      </c>
      <c r="K5" s="31">
        <f>TEXT(EDATE(Assumptions!$C$10,8),"mmm-yy")</f>
        <v/>
      </c>
      <c r="L5" s="31">
        <f>TEXT(EDATE(Assumptions!$C$10,9),"mmm-yy")</f>
        <v/>
      </c>
      <c r="M5" s="31">
        <f>TEXT(EDATE(Assumptions!$C$10,10),"mmm-yy")</f>
        <v/>
      </c>
      <c r="N5" s="31">
        <f>TEXT(EDATE(Assumptions!$C$10,11),"mmm-yy")</f>
        <v/>
      </c>
      <c r="O5" s="31">
        <f>TEXT(EDATE(Assumptions!$C$10,12),"mmm-yy")</f>
        <v/>
      </c>
      <c r="P5" s="31">
        <f>TEXT(EDATE(Assumptions!$C$10,13),"mmm-yy")</f>
        <v/>
      </c>
      <c r="Q5" s="31">
        <f>TEXT(EDATE(Assumptions!$C$10,14),"mmm-yy")</f>
        <v/>
      </c>
      <c r="R5" s="31">
        <f>TEXT(EDATE(Assumptions!$C$10,15),"mmm-yy")</f>
        <v/>
      </c>
      <c r="S5" s="31">
        <f>TEXT(EDATE(Assumptions!$C$10,16),"mmm-yy")</f>
        <v/>
      </c>
      <c r="T5" s="31">
        <f>TEXT(EDATE(Assumptions!$C$10,17),"mmm-yy")</f>
        <v/>
      </c>
      <c r="U5" s="31">
        <f>TEXT(EDATE(Assumptions!$C$10,18),"mmm-yy")</f>
        <v/>
      </c>
      <c r="V5" s="31">
        <f>TEXT(EDATE(Assumptions!$C$10,19),"mmm-yy")</f>
        <v/>
      </c>
      <c r="W5" s="31">
        <f>TEXT(EDATE(Assumptions!$C$10,20),"mmm-yy")</f>
        <v/>
      </c>
      <c r="X5" s="31">
        <f>TEXT(EDATE(Assumptions!$C$10,21),"mmm-yy")</f>
        <v/>
      </c>
      <c r="Y5" s="31">
        <f>TEXT(EDATE(Assumptions!$C$10,22),"mmm-yy")</f>
        <v/>
      </c>
      <c r="Z5" s="31">
        <f>TEXT(EDATE(Assumptions!$C$10,23),"mmm-yy")</f>
        <v/>
      </c>
      <c r="AA5" s="31">
        <f>TEXT(EDATE(Assumptions!$C$10,24),"mmm-yy")</f>
        <v/>
      </c>
      <c r="AB5" s="31">
        <f>TEXT(EDATE(Assumptions!$C$10,25),"mmm-yy")</f>
        <v/>
      </c>
      <c r="AC5" s="31">
        <f>TEXT(EDATE(Assumptions!$C$10,26),"mmm-yy")</f>
        <v/>
      </c>
      <c r="AD5" s="31">
        <f>TEXT(EDATE(Assumptions!$C$10,27),"mmm-yy")</f>
        <v/>
      </c>
      <c r="AE5" s="31">
        <f>TEXT(EDATE(Assumptions!$C$10,28),"mmm-yy")</f>
        <v/>
      </c>
      <c r="AF5" s="31">
        <f>TEXT(EDATE(Assumptions!$C$10,29),"mmm-yy")</f>
        <v/>
      </c>
      <c r="AG5" s="31">
        <f>TEXT(EDATE(Assumptions!$C$10,30),"mmm-yy")</f>
        <v/>
      </c>
      <c r="AH5" s="31">
        <f>TEXT(EDATE(Assumptions!$C$10,31),"mmm-yy")</f>
        <v/>
      </c>
      <c r="AI5" s="31">
        <f>TEXT(EDATE(Assumptions!$C$10,32),"mmm-yy")</f>
        <v/>
      </c>
      <c r="AJ5" s="31">
        <f>TEXT(EDATE(Assumptions!$C$10,33),"mmm-yy")</f>
        <v/>
      </c>
      <c r="AK5" s="31">
        <f>TEXT(EDATE(Assumptions!$C$10,34),"mmm-yy")</f>
        <v/>
      </c>
      <c r="AL5" s="31">
        <f>TEXT(EDATE(Assumptions!$C$10,35),"mmm-yy")</f>
        <v/>
      </c>
      <c r="AM5" s="31">
        <f>TEXT(EDATE(Assumptions!$C$10,36),"mmm-yy")</f>
        <v/>
      </c>
      <c r="AN5" s="31">
        <f>TEXT(EDATE(Assumptions!$C$10,37),"mmm-yy")</f>
        <v/>
      </c>
    </row>
    <row r="6">
      <c r="B6" s="6" t="inlineStr">
        <is>
          <t>Month number</t>
        </is>
      </c>
      <c r="C6" s="32" t="n">
        <v>1</v>
      </c>
      <c r="D6" s="32" t="n">
        <v>2</v>
      </c>
      <c r="E6" s="32" t="n">
        <v>3</v>
      </c>
      <c r="F6" s="32" t="n">
        <v>4</v>
      </c>
      <c r="G6" s="32" t="n">
        <v>5</v>
      </c>
      <c r="H6" s="32" t="n">
        <v>6</v>
      </c>
      <c r="I6" s="32" t="n">
        <v>7</v>
      </c>
      <c r="J6" s="32" t="n">
        <v>8</v>
      </c>
      <c r="K6" s="32" t="n">
        <v>9</v>
      </c>
      <c r="L6" s="32" t="n">
        <v>10</v>
      </c>
      <c r="M6" s="32" t="n">
        <v>11</v>
      </c>
      <c r="N6" s="32" t="n">
        <v>12</v>
      </c>
      <c r="O6" s="32" t="n">
        <v>13</v>
      </c>
      <c r="P6" s="32" t="n">
        <v>14</v>
      </c>
      <c r="Q6" s="32" t="n">
        <v>15</v>
      </c>
      <c r="R6" s="32" t="n">
        <v>16</v>
      </c>
      <c r="S6" s="32" t="n">
        <v>17</v>
      </c>
      <c r="T6" s="32" t="n">
        <v>18</v>
      </c>
      <c r="U6" s="32" t="n">
        <v>19</v>
      </c>
      <c r="V6" s="32" t="n">
        <v>20</v>
      </c>
      <c r="W6" s="32" t="n">
        <v>21</v>
      </c>
      <c r="X6" s="32" t="n">
        <v>22</v>
      </c>
      <c r="Y6" s="32" t="n">
        <v>23</v>
      </c>
      <c r="Z6" s="32" t="n">
        <v>24</v>
      </c>
      <c r="AA6" s="32" t="n">
        <v>25</v>
      </c>
      <c r="AB6" s="32" t="n">
        <v>26</v>
      </c>
      <c r="AC6" s="32" t="n">
        <v>27</v>
      </c>
      <c r="AD6" s="32" t="n">
        <v>28</v>
      </c>
      <c r="AE6" s="32" t="n">
        <v>29</v>
      </c>
      <c r="AF6" s="32" t="n">
        <v>30</v>
      </c>
      <c r="AG6" s="32" t="n">
        <v>31</v>
      </c>
      <c r="AH6" s="32" t="n">
        <v>32</v>
      </c>
      <c r="AI6" s="32" t="n">
        <v>33</v>
      </c>
      <c r="AJ6" s="32" t="n">
        <v>34</v>
      </c>
      <c r="AK6" s="32" t="n">
        <v>35</v>
      </c>
      <c r="AL6" s="32" t="n">
        <v>36</v>
      </c>
      <c r="AM6" s="32" t="n">
        <v>37</v>
      </c>
      <c r="AN6" s="32" t="n">
        <v>38</v>
      </c>
    </row>
    <row r="7">
      <c r="A7" s="33">
        <f>Teams!A5</f>
        <v/>
      </c>
      <c r="B7" s="33">
        <f>Teams!C5&amp;" — "&amp;Teams!B5</f>
        <v/>
      </c>
      <c r="C7" s="34">
        <f>IF(OR(C$6&lt;Teams!$F5,C$6&gt;Teams!$I5),0,IF(C$6&lt;Teams!$G5,ROUND(Teams!$E5*(C$6-Teams!$F5+1)/(Teams!$G5-Teams!$F5+1),0),IF(C$6&lt;=Teams!$H5,Teams!$E5,ROUND(Teams!$E5*(Teams!$I5-C$6+1)/(Teams!$I5-Teams!$H5),0))))</f>
        <v/>
      </c>
      <c r="D7" s="34">
        <f>IF(OR(D$6&lt;Teams!$F5,D$6&gt;Teams!$I5),0,IF(D$6&lt;Teams!$G5,ROUND(Teams!$E5*(D$6-Teams!$F5+1)/(Teams!$G5-Teams!$F5+1),0),IF(D$6&lt;=Teams!$H5,Teams!$E5,ROUND(Teams!$E5*(Teams!$I5-D$6+1)/(Teams!$I5-Teams!$H5),0))))</f>
        <v/>
      </c>
      <c r="E7" s="34">
        <f>IF(OR(E$6&lt;Teams!$F5,E$6&gt;Teams!$I5),0,IF(E$6&lt;Teams!$G5,ROUND(Teams!$E5*(E$6-Teams!$F5+1)/(Teams!$G5-Teams!$F5+1),0),IF(E$6&lt;=Teams!$H5,Teams!$E5,ROUND(Teams!$E5*(Teams!$I5-E$6+1)/(Teams!$I5-Teams!$H5),0))))</f>
        <v/>
      </c>
      <c r="F7" s="34">
        <f>IF(OR(F$6&lt;Teams!$F5,F$6&gt;Teams!$I5),0,IF(F$6&lt;Teams!$G5,ROUND(Teams!$E5*(F$6-Teams!$F5+1)/(Teams!$G5-Teams!$F5+1),0),IF(F$6&lt;=Teams!$H5,Teams!$E5,ROUND(Teams!$E5*(Teams!$I5-F$6+1)/(Teams!$I5-Teams!$H5),0))))</f>
        <v/>
      </c>
      <c r="G7" s="34">
        <f>IF(OR(G$6&lt;Teams!$F5,G$6&gt;Teams!$I5),0,IF(G$6&lt;Teams!$G5,ROUND(Teams!$E5*(G$6-Teams!$F5+1)/(Teams!$G5-Teams!$F5+1),0),IF(G$6&lt;=Teams!$H5,Teams!$E5,ROUND(Teams!$E5*(Teams!$I5-G$6+1)/(Teams!$I5-Teams!$H5),0))))</f>
        <v/>
      </c>
      <c r="H7" s="34">
        <f>IF(OR(H$6&lt;Teams!$F5,H$6&gt;Teams!$I5),0,IF(H$6&lt;Teams!$G5,ROUND(Teams!$E5*(H$6-Teams!$F5+1)/(Teams!$G5-Teams!$F5+1),0),IF(H$6&lt;=Teams!$H5,Teams!$E5,ROUND(Teams!$E5*(Teams!$I5-H$6+1)/(Teams!$I5-Teams!$H5),0))))</f>
        <v/>
      </c>
      <c r="I7" s="34">
        <f>IF(OR(I$6&lt;Teams!$F5,I$6&gt;Teams!$I5),0,IF(I$6&lt;Teams!$G5,ROUND(Teams!$E5*(I$6-Teams!$F5+1)/(Teams!$G5-Teams!$F5+1),0),IF(I$6&lt;=Teams!$H5,Teams!$E5,ROUND(Teams!$E5*(Teams!$I5-I$6+1)/(Teams!$I5-Teams!$H5),0))))</f>
        <v/>
      </c>
      <c r="J7" s="34">
        <f>IF(OR(J$6&lt;Teams!$F5,J$6&gt;Teams!$I5),0,IF(J$6&lt;Teams!$G5,ROUND(Teams!$E5*(J$6-Teams!$F5+1)/(Teams!$G5-Teams!$F5+1),0),IF(J$6&lt;=Teams!$H5,Teams!$E5,ROUND(Teams!$E5*(Teams!$I5-J$6+1)/(Teams!$I5-Teams!$H5),0))))</f>
        <v/>
      </c>
      <c r="K7" s="34">
        <f>IF(OR(K$6&lt;Teams!$F5,K$6&gt;Teams!$I5),0,IF(K$6&lt;Teams!$G5,ROUND(Teams!$E5*(K$6-Teams!$F5+1)/(Teams!$G5-Teams!$F5+1),0),IF(K$6&lt;=Teams!$H5,Teams!$E5,ROUND(Teams!$E5*(Teams!$I5-K$6+1)/(Teams!$I5-Teams!$H5),0))))</f>
        <v/>
      </c>
      <c r="L7" s="34">
        <f>IF(OR(L$6&lt;Teams!$F5,L$6&gt;Teams!$I5),0,IF(L$6&lt;Teams!$G5,ROUND(Teams!$E5*(L$6-Teams!$F5+1)/(Teams!$G5-Teams!$F5+1),0),IF(L$6&lt;=Teams!$H5,Teams!$E5,ROUND(Teams!$E5*(Teams!$I5-L$6+1)/(Teams!$I5-Teams!$H5),0))))</f>
        <v/>
      </c>
      <c r="M7" s="34">
        <f>IF(OR(M$6&lt;Teams!$F5,M$6&gt;Teams!$I5),0,IF(M$6&lt;Teams!$G5,ROUND(Teams!$E5*(M$6-Teams!$F5+1)/(Teams!$G5-Teams!$F5+1),0),IF(M$6&lt;=Teams!$H5,Teams!$E5,ROUND(Teams!$E5*(Teams!$I5-M$6+1)/(Teams!$I5-Teams!$H5),0))))</f>
        <v/>
      </c>
      <c r="N7" s="34">
        <f>IF(OR(N$6&lt;Teams!$F5,N$6&gt;Teams!$I5),0,IF(N$6&lt;Teams!$G5,ROUND(Teams!$E5*(N$6-Teams!$F5+1)/(Teams!$G5-Teams!$F5+1),0),IF(N$6&lt;=Teams!$H5,Teams!$E5,ROUND(Teams!$E5*(Teams!$I5-N$6+1)/(Teams!$I5-Teams!$H5),0))))</f>
        <v/>
      </c>
      <c r="O7" s="34">
        <f>IF(OR(O$6&lt;Teams!$F5,O$6&gt;Teams!$I5),0,IF(O$6&lt;Teams!$G5,ROUND(Teams!$E5*(O$6-Teams!$F5+1)/(Teams!$G5-Teams!$F5+1),0),IF(O$6&lt;=Teams!$H5,Teams!$E5,ROUND(Teams!$E5*(Teams!$I5-O$6+1)/(Teams!$I5-Teams!$H5),0))))</f>
        <v/>
      </c>
      <c r="P7" s="34">
        <f>IF(OR(P$6&lt;Teams!$F5,P$6&gt;Teams!$I5),0,IF(P$6&lt;Teams!$G5,ROUND(Teams!$E5*(P$6-Teams!$F5+1)/(Teams!$G5-Teams!$F5+1),0),IF(P$6&lt;=Teams!$H5,Teams!$E5,ROUND(Teams!$E5*(Teams!$I5-P$6+1)/(Teams!$I5-Teams!$H5),0))))</f>
        <v/>
      </c>
      <c r="Q7" s="34">
        <f>IF(OR(Q$6&lt;Teams!$F5,Q$6&gt;Teams!$I5),0,IF(Q$6&lt;Teams!$G5,ROUND(Teams!$E5*(Q$6-Teams!$F5+1)/(Teams!$G5-Teams!$F5+1),0),IF(Q$6&lt;=Teams!$H5,Teams!$E5,ROUND(Teams!$E5*(Teams!$I5-Q$6+1)/(Teams!$I5-Teams!$H5),0))))</f>
        <v/>
      </c>
      <c r="R7" s="34">
        <f>IF(OR(R$6&lt;Teams!$F5,R$6&gt;Teams!$I5),0,IF(R$6&lt;Teams!$G5,ROUND(Teams!$E5*(R$6-Teams!$F5+1)/(Teams!$G5-Teams!$F5+1),0),IF(R$6&lt;=Teams!$H5,Teams!$E5,ROUND(Teams!$E5*(Teams!$I5-R$6+1)/(Teams!$I5-Teams!$H5),0))))</f>
        <v/>
      </c>
      <c r="S7" s="34">
        <f>IF(OR(S$6&lt;Teams!$F5,S$6&gt;Teams!$I5),0,IF(S$6&lt;Teams!$G5,ROUND(Teams!$E5*(S$6-Teams!$F5+1)/(Teams!$G5-Teams!$F5+1),0),IF(S$6&lt;=Teams!$H5,Teams!$E5,ROUND(Teams!$E5*(Teams!$I5-S$6+1)/(Teams!$I5-Teams!$H5),0))))</f>
        <v/>
      </c>
      <c r="T7" s="34">
        <f>IF(OR(T$6&lt;Teams!$F5,T$6&gt;Teams!$I5),0,IF(T$6&lt;Teams!$G5,ROUND(Teams!$E5*(T$6-Teams!$F5+1)/(Teams!$G5-Teams!$F5+1),0),IF(T$6&lt;=Teams!$H5,Teams!$E5,ROUND(Teams!$E5*(Teams!$I5-T$6+1)/(Teams!$I5-Teams!$H5),0))))</f>
        <v/>
      </c>
      <c r="U7" s="34">
        <f>IF(OR(U$6&lt;Teams!$F5,U$6&gt;Teams!$I5),0,IF(U$6&lt;Teams!$G5,ROUND(Teams!$E5*(U$6-Teams!$F5+1)/(Teams!$G5-Teams!$F5+1),0),IF(U$6&lt;=Teams!$H5,Teams!$E5,ROUND(Teams!$E5*(Teams!$I5-U$6+1)/(Teams!$I5-Teams!$H5),0))))</f>
        <v/>
      </c>
      <c r="V7" s="34">
        <f>IF(OR(V$6&lt;Teams!$F5,V$6&gt;Teams!$I5),0,IF(V$6&lt;Teams!$G5,ROUND(Teams!$E5*(V$6-Teams!$F5+1)/(Teams!$G5-Teams!$F5+1),0),IF(V$6&lt;=Teams!$H5,Teams!$E5,ROUND(Teams!$E5*(Teams!$I5-V$6+1)/(Teams!$I5-Teams!$H5),0))))</f>
        <v/>
      </c>
      <c r="W7" s="34">
        <f>IF(OR(W$6&lt;Teams!$F5,W$6&gt;Teams!$I5),0,IF(W$6&lt;Teams!$G5,ROUND(Teams!$E5*(W$6-Teams!$F5+1)/(Teams!$G5-Teams!$F5+1),0),IF(W$6&lt;=Teams!$H5,Teams!$E5,ROUND(Teams!$E5*(Teams!$I5-W$6+1)/(Teams!$I5-Teams!$H5),0))))</f>
        <v/>
      </c>
      <c r="X7" s="34">
        <f>IF(OR(X$6&lt;Teams!$F5,X$6&gt;Teams!$I5),0,IF(X$6&lt;Teams!$G5,ROUND(Teams!$E5*(X$6-Teams!$F5+1)/(Teams!$G5-Teams!$F5+1),0),IF(X$6&lt;=Teams!$H5,Teams!$E5,ROUND(Teams!$E5*(Teams!$I5-X$6+1)/(Teams!$I5-Teams!$H5),0))))</f>
        <v/>
      </c>
      <c r="Y7" s="34">
        <f>IF(OR(Y$6&lt;Teams!$F5,Y$6&gt;Teams!$I5),0,IF(Y$6&lt;Teams!$G5,ROUND(Teams!$E5*(Y$6-Teams!$F5+1)/(Teams!$G5-Teams!$F5+1),0),IF(Y$6&lt;=Teams!$H5,Teams!$E5,ROUND(Teams!$E5*(Teams!$I5-Y$6+1)/(Teams!$I5-Teams!$H5),0))))</f>
        <v/>
      </c>
      <c r="Z7" s="34">
        <f>IF(OR(Z$6&lt;Teams!$F5,Z$6&gt;Teams!$I5),0,IF(Z$6&lt;Teams!$G5,ROUND(Teams!$E5*(Z$6-Teams!$F5+1)/(Teams!$G5-Teams!$F5+1),0),IF(Z$6&lt;=Teams!$H5,Teams!$E5,ROUND(Teams!$E5*(Teams!$I5-Z$6+1)/(Teams!$I5-Teams!$H5),0))))</f>
        <v/>
      </c>
      <c r="AA7" s="34">
        <f>IF(OR(AA$6&lt;Teams!$F5,AA$6&gt;Teams!$I5),0,IF(AA$6&lt;Teams!$G5,ROUND(Teams!$E5*(AA$6-Teams!$F5+1)/(Teams!$G5-Teams!$F5+1),0),IF(AA$6&lt;=Teams!$H5,Teams!$E5,ROUND(Teams!$E5*(Teams!$I5-AA$6+1)/(Teams!$I5-Teams!$H5),0))))</f>
        <v/>
      </c>
      <c r="AB7" s="34">
        <f>IF(OR(AB$6&lt;Teams!$F5,AB$6&gt;Teams!$I5),0,IF(AB$6&lt;Teams!$G5,ROUND(Teams!$E5*(AB$6-Teams!$F5+1)/(Teams!$G5-Teams!$F5+1),0),IF(AB$6&lt;=Teams!$H5,Teams!$E5,ROUND(Teams!$E5*(Teams!$I5-AB$6+1)/(Teams!$I5-Teams!$H5),0))))</f>
        <v/>
      </c>
      <c r="AC7" s="34">
        <f>IF(OR(AC$6&lt;Teams!$F5,AC$6&gt;Teams!$I5),0,IF(AC$6&lt;Teams!$G5,ROUND(Teams!$E5*(AC$6-Teams!$F5+1)/(Teams!$G5-Teams!$F5+1),0),IF(AC$6&lt;=Teams!$H5,Teams!$E5,ROUND(Teams!$E5*(Teams!$I5-AC$6+1)/(Teams!$I5-Teams!$H5),0))))</f>
        <v/>
      </c>
      <c r="AD7" s="34">
        <f>IF(OR(AD$6&lt;Teams!$F5,AD$6&gt;Teams!$I5),0,IF(AD$6&lt;Teams!$G5,ROUND(Teams!$E5*(AD$6-Teams!$F5+1)/(Teams!$G5-Teams!$F5+1),0),IF(AD$6&lt;=Teams!$H5,Teams!$E5,ROUND(Teams!$E5*(Teams!$I5-AD$6+1)/(Teams!$I5-Teams!$H5),0))))</f>
        <v/>
      </c>
      <c r="AE7" s="34">
        <f>IF(OR(AE$6&lt;Teams!$F5,AE$6&gt;Teams!$I5),0,IF(AE$6&lt;Teams!$G5,ROUND(Teams!$E5*(AE$6-Teams!$F5+1)/(Teams!$G5-Teams!$F5+1),0),IF(AE$6&lt;=Teams!$H5,Teams!$E5,ROUND(Teams!$E5*(Teams!$I5-AE$6+1)/(Teams!$I5-Teams!$H5),0))))</f>
        <v/>
      </c>
      <c r="AF7" s="34">
        <f>IF(OR(AF$6&lt;Teams!$F5,AF$6&gt;Teams!$I5),0,IF(AF$6&lt;Teams!$G5,ROUND(Teams!$E5*(AF$6-Teams!$F5+1)/(Teams!$G5-Teams!$F5+1),0),IF(AF$6&lt;=Teams!$H5,Teams!$E5,ROUND(Teams!$E5*(Teams!$I5-AF$6+1)/(Teams!$I5-Teams!$H5),0))))</f>
        <v/>
      </c>
      <c r="AG7" s="34">
        <f>IF(OR(AG$6&lt;Teams!$F5,AG$6&gt;Teams!$I5),0,IF(AG$6&lt;Teams!$G5,ROUND(Teams!$E5*(AG$6-Teams!$F5+1)/(Teams!$G5-Teams!$F5+1),0),IF(AG$6&lt;=Teams!$H5,Teams!$E5,ROUND(Teams!$E5*(Teams!$I5-AG$6+1)/(Teams!$I5-Teams!$H5),0))))</f>
        <v/>
      </c>
      <c r="AH7" s="34">
        <f>IF(OR(AH$6&lt;Teams!$F5,AH$6&gt;Teams!$I5),0,IF(AH$6&lt;Teams!$G5,ROUND(Teams!$E5*(AH$6-Teams!$F5+1)/(Teams!$G5-Teams!$F5+1),0),IF(AH$6&lt;=Teams!$H5,Teams!$E5,ROUND(Teams!$E5*(Teams!$I5-AH$6+1)/(Teams!$I5-Teams!$H5),0))))</f>
        <v/>
      </c>
      <c r="AI7" s="34">
        <f>IF(OR(AI$6&lt;Teams!$F5,AI$6&gt;Teams!$I5),0,IF(AI$6&lt;Teams!$G5,ROUND(Teams!$E5*(AI$6-Teams!$F5+1)/(Teams!$G5-Teams!$F5+1),0),IF(AI$6&lt;=Teams!$H5,Teams!$E5,ROUND(Teams!$E5*(Teams!$I5-AI$6+1)/(Teams!$I5-Teams!$H5),0))))</f>
        <v/>
      </c>
      <c r="AJ7" s="34">
        <f>IF(OR(AJ$6&lt;Teams!$F5,AJ$6&gt;Teams!$I5),0,IF(AJ$6&lt;Teams!$G5,ROUND(Teams!$E5*(AJ$6-Teams!$F5+1)/(Teams!$G5-Teams!$F5+1),0),IF(AJ$6&lt;=Teams!$H5,Teams!$E5,ROUND(Teams!$E5*(Teams!$I5-AJ$6+1)/(Teams!$I5-Teams!$H5),0))))</f>
        <v/>
      </c>
      <c r="AK7" s="34">
        <f>IF(OR(AK$6&lt;Teams!$F5,AK$6&gt;Teams!$I5),0,IF(AK$6&lt;Teams!$G5,ROUND(Teams!$E5*(AK$6-Teams!$F5+1)/(Teams!$G5-Teams!$F5+1),0),IF(AK$6&lt;=Teams!$H5,Teams!$E5,ROUND(Teams!$E5*(Teams!$I5-AK$6+1)/(Teams!$I5-Teams!$H5),0))))</f>
        <v/>
      </c>
      <c r="AL7" s="34">
        <f>IF(OR(AL$6&lt;Teams!$F5,AL$6&gt;Teams!$I5),0,IF(AL$6&lt;Teams!$G5,ROUND(Teams!$E5*(AL$6-Teams!$F5+1)/(Teams!$G5-Teams!$F5+1),0),IF(AL$6&lt;=Teams!$H5,Teams!$E5,ROUND(Teams!$E5*(Teams!$I5-AL$6+1)/(Teams!$I5-Teams!$H5),0))))</f>
        <v/>
      </c>
      <c r="AM7" s="34">
        <f>IF(OR(AM$6&lt;Teams!$F5,AM$6&gt;Teams!$I5),0,IF(AM$6&lt;Teams!$G5,ROUND(Teams!$E5*(AM$6-Teams!$F5+1)/(Teams!$G5-Teams!$F5+1),0),IF(AM$6&lt;=Teams!$H5,Teams!$E5,ROUND(Teams!$E5*(Teams!$I5-AM$6+1)/(Teams!$I5-Teams!$H5),0))))</f>
        <v/>
      </c>
      <c r="AN7" s="34">
        <f>IF(OR(AN$6&lt;Teams!$F5,AN$6&gt;Teams!$I5),0,IF(AN$6&lt;Teams!$G5,ROUND(Teams!$E5*(AN$6-Teams!$F5+1)/(Teams!$G5-Teams!$F5+1),0),IF(AN$6&lt;=Teams!$H5,Teams!$E5,ROUND(Teams!$E5*(Teams!$I5-AN$6+1)/(Teams!$I5-Teams!$H5),0))))</f>
        <v/>
      </c>
    </row>
    <row r="8">
      <c r="A8" s="33">
        <f>Teams!A6</f>
        <v/>
      </c>
      <c r="B8" s="33">
        <f>Teams!C6&amp;" — "&amp;Teams!B6</f>
        <v/>
      </c>
      <c r="C8" s="34">
        <f>IF(OR(C$6&lt;Teams!$F6,C$6&gt;Teams!$I6),0,IF(C$6&lt;Teams!$G6,ROUND(Teams!$E6*(C$6-Teams!$F6+1)/(Teams!$G6-Teams!$F6+1),0),IF(C$6&lt;=Teams!$H6,Teams!$E6,ROUND(Teams!$E6*(Teams!$I6-C$6+1)/(Teams!$I6-Teams!$H6),0))))</f>
        <v/>
      </c>
      <c r="D8" s="34">
        <f>IF(OR(D$6&lt;Teams!$F6,D$6&gt;Teams!$I6),0,IF(D$6&lt;Teams!$G6,ROUND(Teams!$E6*(D$6-Teams!$F6+1)/(Teams!$G6-Teams!$F6+1),0),IF(D$6&lt;=Teams!$H6,Teams!$E6,ROUND(Teams!$E6*(Teams!$I6-D$6+1)/(Teams!$I6-Teams!$H6),0))))</f>
        <v/>
      </c>
      <c r="E8" s="34">
        <f>IF(OR(E$6&lt;Teams!$F6,E$6&gt;Teams!$I6),0,IF(E$6&lt;Teams!$G6,ROUND(Teams!$E6*(E$6-Teams!$F6+1)/(Teams!$G6-Teams!$F6+1),0),IF(E$6&lt;=Teams!$H6,Teams!$E6,ROUND(Teams!$E6*(Teams!$I6-E$6+1)/(Teams!$I6-Teams!$H6),0))))</f>
        <v/>
      </c>
      <c r="F8" s="34">
        <f>IF(OR(F$6&lt;Teams!$F6,F$6&gt;Teams!$I6),0,IF(F$6&lt;Teams!$G6,ROUND(Teams!$E6*(F$6-Teams!$F6+1)/(Teams!$G6-Teams!$F6+1),0),IF(F$6&lt;=Teams!$H6,Teams!$E6,ROUND(Teams!$E6*(Teams!$I6-F$6+1)/(Teams!$I6-Teams!$H6),0))))</f>
        <v/>
      </c>
      <c r="G8" s="34">
        <f>IF(OR(G$6&lt;Teams!$F6,G$6&gt;Teams!$I6),0,IF(G$6&lt;Teams!$G6,ROUND(Teams!$E6*(G$6-Teams!$F6+1)/(Teams!$G6-Teams!$F6+1),0),IF(G$6&lt;=Teams!$H6,Teams!$E6,ROUND(Teams!$E6*(Teams!$I6-G$6+1)/(Teams!$I6-Teams!$H6),0))))</f>
        <v/>
      </c>
      <c r="H8" s="34">
        <f>IF(OR(H$6&lt;Teams!$F6,H$6&gt;Teams!$I6),0,IF(H$6&lt;Teams!$G6,ROUND(Teams!$E6*(H$6-Teams!$F6+1)/(Teams!$G6-Teams!$F6+1),0),IF(H$6&lt;=Teams!$H6,Teams!$E6,ROUND(Teams!$E6*(Teams!$I6-H$6+1)/(Teams!$I6-Teams!$H6),0))))</f>
        <v/>
      </c>
      <c r="I8" s="34">
        <f>IF(OR(I$6&lt;Teams!$F6,I$6&gt;Teams!$I6),0,IF(I$6&lt;Teams!$G6,ROUND(Teams!$E6*(I$6-Teams!$F6+1)/(Teams!$G6-Teams!$F6+1),0),IF(I$6&lt;=Teams!$H6,Teams!$E6,ROUND(Teams!$E6*(Teams!$I6-I$6+1)/(Teams!$I6-Teams!$H6),0))))</f>
        <v/>
      </c>
      <c r="J8" s="34">
        <f>IF(OR(J$6&lt;Teams!$F6,J$6&gt;Teams!$I6),0,IF(J$6&lt;Teams!$G6,ROUND(Teams!$E6*(J$6-Teams!$F6+1)/(Teams!$G6-Teams!$F6+1),0),IF(J$6&lt;=Teams!$H6,Teams!$E6,ROUND(Teams!$E6*(Teams!$I6-J$6+1)/(Teams!$I6-Teams!$H6),0))))</f>
        <v/>
      </c>
      <c r="K8" s="34">
        <f>IF(OR(K$6&lt;Teams!$F6,K$6&gt;Teams!$I6),0,IF(K$6&lt;Teams!$G6,ROUND(Teams!$E6*(K$6-Teams!$F6+1)/(Teams!$G6-Teams!$F6+1),0),IF(K$6&lt;=Teams!$H6,Teams!$E6,ROUND(Teams!$E6*(Teams!$I6-K$6+1)/(Teams!$I6-Teams!$H6),0))))</f>
        <v/>
      </c>
      <c r="L8" s="34">
        <f>IF(OR(L$6&lt;Teams!$F6,L$6&gt;Teams!$I6),0,IF(L$6&lt;Teams!$G6,ROUND(Teams!$E6*(L$6-Teams!$F6+1)/(Teams!$G6-Teams!$F6+1),0),IF(L$6&lt;=Teams!$H6,Teams!$E6,ROUND(Teams!$E6*(Teams!$I6-L$6+1)/(Teams!$I6-Teams!$H6),0))))</f>
        <v/>
      </c>
      <c r="M8" s="34">
        <f>IF(OR(M$6&lt;Teams!$F6,M$6&gt;Teams!$I6),0,IF(M$6&lt;Teams!$G6,ROUND(Teams!$E6*(M$6-Teams!$F6+1)/(Teams!$G6-Teams!$F6+1),0),IF(M$6&lt;=Teams!$H6,Teams!$E6,ROUND(Teams!$E6*(Teams!$I6-M$6+1)/(Teams!$I6-Teams!$H6),0))))</f>
        <v/>
      </c>
      <c r="N8" s="34">
        <f>IF(OR(N$6&lt;Teams!$F6,N$6&gt;Teams!$I6),0,IF(N$6&lt;Teams!$G6,ROUND(Teams!$E6*(N$6-Teams!$F6+1)/(Teams!$G6-Teams!$F6+1),0),IF(N$6&lt;=Teams!$H6,Teams!$E6,ROUND(Teams!$E6*(Teams!$I6-N$6+1)/(Teams!$I6-Teams!$H6),0))))</f>
        <v/>
      </c>
      <c r="O8" s="34">
        <f>IF(OR(O$6&lt;Teams!$F6,O$6&gt;Teams!$I6),0,IF(O$6&lt;Teams!$G6,ROUND(Teams!$E6*(O$6-Teams!$F6+1)/(Teams!$G6-Teams!$F6+1),0),IF(O$6&lt;=Teams!$H6,Teams!$E6,ROUND(Teams!$E6*(Teams!$I6-O$6+1)/(Teams!$I6-Teams!$H6),0))))</f>
        <v/>
      </c>
      <c r="P8" s="34">
        <f>IF(OR(P$6&lt;Teams!$F6,P$6&gt;Teams!$I6),0,IF(P$6&lt;Teams!$G6,ROUND(Teams!$E6*(P$6-Teams!$F6+1)/(Teams!$G6-Teams!$F6+1),0),IF(P$6&lt;=Teams!$H6,Teams!$E6,ROUND(Teams!$E6*(Teams!$I6-P$6+1)/(Teams!$I6-Teams!$H6),0))))</f>
        <v/>
      </c>
      <c r="Q8" s="34">
        <f>IF(OR(Q$6&lt;Teams!$F6,Q$6&gt;Teams!$I6),0,IF(Q$6&lt;Teams!$G6,ROUND(Teams!$E6*(Q$6-Teams!$F6+1)/(Teams!$G6-Teams!$F6+1),0),IF(Q$6&lt;=Teams!$H6,Teams!$E6,ROUND(Teams!$E6*(Teams!$I6-Q$6+1)/(Teams!$I6-Teams!$H6),0))))</f>
        <v/>
      </c>
      <c r="R8" s="34">
        <f>IF(OR(R$6&lt;Teams!$F6,R$6&gt;Teams!$I6),0,IF(R$6&lt;Teams!$G6,ROUND(Teams!$E6*(R$6-Teams!$F6+1)/(Teams!$G6-Teams!$F6+1),0),IF(R$6&lt;=Teams!$H6,Teams!$E6,ROUND(Teams!$E6*(Teams!$I6-R$6+1)/(Teams!$I6-Teams!$H6),0))))</f>
        <v/>
      </c>
      <c r="S8" s="34">
        <f>IF(OR(S$6&lt;Teams!$F6,S$6&gt;Teams!$I6),0,IF(S$6&lt;Teams!$G6,ROUND(Teams!$E6*(S$6-Teams!$F6+1)/(Teams!$G6-Teams!$F6+1),0),IF(S$6&lt;=Teams!$H6,Teams!$E6,ROUND(Teams!$E6*(Teams!$I6-S$6+1)/(Teams!$I6-Teams!$H6),0))))</f>
        <v/>
      </c>
      <c r="T8" s="34">
        <f>IF(OR(T$6&lt;Teams!$F6,T$6&gt;Teams!$I6),0,IF(T$6&lt;Teams!$G6,ROUND(Teams!$E6*(T$6-Teams!$F6+1)/(Teams!$G6-Teams!$F6+1),0),IF(T$6&lt;=Teams!$H6,Teams!$E6,ROUND(Teams!$E6*(Teams!$I6-T$6+1)/(Teams!$I6-Teams!$H6),0))))</f>
        <v/>
      </c>
      <c r="U8" s="34">
        <f>IF(OR(U$6&lt;Teams!$F6,U$6&gt;Teams!$I6),0,IF(U$6&lt;Teams!$G6,ROUND(Teams!$E6*(U$6-Teams!$F6+1)/(Teams!$G6-Teams!$F6+1),0),IF(U$6&lt;=Teams!$H6,Teams!$E6,ROUND(Teams!$E6*(Teams!$I6-U$6+1)/(Teams!$I6-Teams!$H6),0))))</f>
        <v/>
      </c>
      <c r="V8" s="34">
        <f>IF(OR(V$6&lt;Teams!$F6,V$6&gt;Teams!$I6),0,IF(V$6&lt;Teams!$G6,ROUND(Teams!$E6*(V$6-Teams!$F6+1)/(Teams!$G6-Teams!$F6+1),0),IF(V$6&lt;=Teams!$H6,Teams!$E6,ROUND(Teams!$E6*(Teams!$I6-V$6+1)/(Teams!$I6-Teams!$H6),0))))</f>
        <v/>
      </c>
      <c r="W8" s="34">
        <f>IF(OR(W$6&lt;Teams!$F6,W$6&gt;Teams!$I6),0,IF(W$6&lt;Teams!$G6,ROUND(Teams!$E6*(W$6-Teams!$F6+1)/(Teams!$G6-Teams!$F6+1),0),IF(W$6&lt;=Teams!$H6,Teams!$E6,ROUND(Teams!$E6*(Teams!$I6-W$6+1)/(Teams!$I6-Teams!$H6),0))))</f>
        <v/>
      </c>
      <c r="X8" s="34">
        <f>IF(OR(X$6&lt;Teams!$F6,X$6&gt;Teams!$I6),0,IF(X$6&lt;Teams!$G6,ROUND(Teams!$E6*(X$6-Teams!$F6+1)/(Teams!$G6-Teams!$F6+1),0),IF(X$6&lt;=Teams!$H6,Teams!$E6,ROUND(Teams!$E6*(Teams!$I6-X$6+1)/(Teams!$I6-Teams!$H6),0))))</f>
        <v/>
      </c>
      <c r="Y8" s="34">
        <f>IF(OR(Y$6&lt;Teams!$F6,Y$6&gt;Teams!$I6),0,IF(Y$6&lt;Teams!$G6,ROUND(Teams!$E6*(Y$6-Teams!$F6+1)/(Teams!$G6-Teams!$F6+1),0),IF(Y$6&lt;=Teams!$H6,Teams!$E6,ROUND(Teams!$E6*(Teams!$I6-Y$6+1)/(Teams!$I6-Teams!$H6),0))))</f>
        <v/>
      </c>
      <c r="Z8" s="34">
        <f>IF(OR(Z$6&lt;Teams!$F6,Z$6&gt;Teams!$I6),0,IF(Z$6&lt;Teams!$G6,ROUND(Teams!$E6*(Z$6-Teams!$F6+1)/(Teams!$G6-Teams!$F6+1),0),IF(Z$6&lt;=Teams!$H6,Teams!$E6,ROUND(Teams!$E6*(Teams!$I6-Z$6+1)/(Teams!$I6-Teams!$H6),0))))</f>
        <v/>
      </c>
      <c r="AA8" s="34">
        <f>IF(OR(AA$6&lt;Teams!$F6,AA$6&gt;Teams!$I6),0,IF(AA$6&lt;Teams!$G6,ROUND(Teams!$E6*(AA$6-Teams!$F6+1)/(Teams!$G6-Teams!$F6+1),0),IF(AA$6&lt;=Teams!$H6,Teams!$E6,ROUND(Teams!$E6*(Teams!$I6-AA$6+1)/(Teams!$I6-Teams!$H6),0))))</f>
        <v/>
      </c>
      <c r="AB8" s="34">
        <f>IF(OR(AB$6&lt;Teams!$F6,AB$6&gt;Teams!$I6),0,IF(AB$6&lt;Teams!$G6,ROUND(Teams!$E6*(AB$6-Teams!$F6+1)/(Teams!$G6-Teams!$F6+1),0),IF(AB$6&lt;=Teams!$H6,Teams!$E6,ROUND(Teams!$E6*(Teams!$I6-AB$6+1)/(Teams!$I6-Teams!$H6),0))))</f>
        <v/>
      </c>
      <c r="AC8" s="34">
        <f>IF(OR(AC$6&lt;Teams!$F6,AC$6&gt;Teams!$I6),0,IF(AC$6&lt;Teams!$G6,ROUND(Teams!$E6*(AC$6-Teams!$F6+1)/(Teams!$G6-Teams!$F6+1),0),IF(AC$6&lt;=Teams!$H6,Teams!$E6,ROUND(Teams!$E6*(Teams!$I6-AC$6+1)/(Teams!$I6-Teams!$H6),0))))</f>
        <v/>
      </c>
      <c r="AD8" s="34">
        <f>IF(OR(AD$6&lt;Teams!$F6,AD$6&gt;Teams!$I6),0,IF(AD$6&lt;Teams!$G6,ROUND(Teams!$E6*(AD$6-Teams!$F6+1)/(Teams!$G6-Teams!$F6+1),0),IF(AD$6&lt;=Teams!$H6,Teams!$E6,ROUND(Teams!$E6*(Teams!$I6-AD$6+1)/(Teams!$I6-Teams!$H6),0))))</f>
        <v/>
      </c>
      <c r="AE8" s="34">
        <f>IF(OR(AE$6&lt;Teams!$F6,AE$6&gt;Teams!$I6),0,IF(AE$6&lt;Teams!$G6,ROUND(Teams!$E6*(AE$6-Teams!$F6+1)/(Teams!$G6-Teams!$F6+1),0),IF(AE$6&lt;=Teams!$H6,Teams!$E6,ROUND(Teams!$E6*(Teams!$I6-AE$6+1)/(Teams!$I6-Teams!$H6),0))))</f>
        <v/>
      </c>
      <c r="AF8" s="34">
        <f>IF(OR(AF$6&lt;Teams!$F6,AF$6&gt;Teams!$I6),0,IF(AF$6&lt;Teams!$G6,ROUND(Teams!$E6*(AF$6-Teams!$F6+1)/(Teams!$G6-Teams!$F6+1),0),IF(AF$6&lt;=Teams!$H6,Teams!$E6,ROUND(Teams!$E6*(Teams!$I6-AF$6+1)/(Teams!$I6-Teams!$H6),0))))</f>
        <v/>
      </c>
      <c r="AG8" s="34">
        <f>IF(OR(AG$6&lt;Teams!$F6,AG$6&gt;Teams!$I6),0,IF(AG$6&lt;Teams!$G6,ROUND(Teams!$E6*(AG$6-Teams!$F6+1)/(Teams!$G6-Teams!$F6+1),0),IF(AG$6&lt;=Teams!$H6,Teams!$E6,ROUND(Teams!$E6*(Teams!$I6-AG$6+1)/(Teams!$I6-Teams!$H6),0))))</f>
        <v/>
      </c>
      <c r="AH8" s="34">
        <f>IF(OR(AH$6&lt;Teams!$F6,AH$6&gt;Teams!$I6),0,IF(AH$6&lt;Teams!$G6,ROUND(Teams!$E6*(AH$6-Teams!$F6+1)/(Teams!$G6-Teams!$F6+1),0),IF(AH$6&lt;=Teams!$H6,Teams!$E6,ROUND(Teams!$E6*(Teams!$I6-AH$6+1)/(Teams!$I6-Teams!$H6),0))))</f>
        <v/>
      </c>
      <c r="AI8" s="34">
        <f>IF(OR(AI$6&lt;Teams!$F6,AI$6&gt;Teams!$I6),0,IF(AI$6&lt;Teams!$G6,ROUND(Teams!$E6*(AI$6-Teams!$F6+1)/(Teams!$G6-Teams!$F6+1),0),IF(AI$6&lt;=Teams!$H6,Teams!$E6,ROUND(Teams!$E6*(Teams!$I6-AI$6+1)/(Teams!$I6-Teams!$H6),0))))</f>
        <v/>
      </c>
      <c r="AJ8" s="34">
        <f>IF(OR(AJ$6&lt;Teams!$F6,AJ$6&gt;Teams!$I6),0,IF(AJ$6&lt;Teams!$G6,ROUND(Teams!$E6*(AJ$6-Teams!$F6+1)/(Teams!$G6-Teams!$F6+1),0),IF(AJ$6&lt;=Teams!$H6,Teams!$E6,ROUND(Teams!$E6*(Teams!$I6-AJ$6+1)/(Teams!$I6-Teams!$H6),0))))</f>
        <v/>
      </c>
      <c r="AK8" s="34">
        <f>IF(OR(AK$6&lt;Teams!$F6,AK$6&gt;Teams!$I6),0,IF(AK$6&lt;Teams!$G6,ROUND(Teams!$E6*(AK$6-Teams!$F6+1)/(Teams!$G6-Teams!$F6+1),0),IF(AK$6&lt;=Teams!$H6,Teams!$E6,ROUND(Teams!$E6*(Teams!$I6-AK$6+1)/(Teams!$I6-Teams!$H6),0))))</f>
        <v/>
      </c>
      <c r="AL8" s="34">
        <f>IF(OR(AL$6&lt;Teams!$F6,AL$6&gt;Teams!$I6),0,IF(AL$6&lt;Teams!$G6,ROUND(Teams!$E6*(AL$6-Teams!$F6+1)/(Teams!$G6-Teams!$F6+1),0),IF(AL$6&lt;=Teams!$H6,Teams!$E6,ROUND(Teams!$E6*(Teams!$I6-AL$6+1)/(Teams!$I6-Teams!$H6),0))))</f>
        <v/>
      </c>
      <c r="AM8" s="34">
        <f>IF(OR(AM$6&lt;Teams!$F6,AM$6&gt;Teams!$I6),0,IF(AM$6&lt;Teams!$G6,ROUND(Teams!$E6*(AM$6-Teams!$F6+1)/(Teams!$G6-Teams!$F6+1),0),IF(AM$6&lt;=Teams!$H6,Teams!$E6,ROUND(Teams!$E6*(Teams!$I6-AM$6+1)/(Teams!$I6-Teams!$H6),0))))</f>
        <v/>
      </c>
      <c r="AN8" s="34">
        <f>IF(OR(AN$6&lt;Teams!$F6,AN$6&gt;Teams!$I6),0,IF(AN$6&lt;Teams!$G6,ROUND(Teams!$E6*(AN$6-Teams!$F6+1)/(Teams!$G6-Teams!$F6+1),0),IF(AN$6&lt;=Teams!$H6,Teams!$E6,ROUND(Teams!$E6*(Teams!$I6-AN$6+1)/(Teams!$I6-Teams!$H6),0))))</f>
        <v/>
      </c>
    </row>
    <row r="9">
      <c r="A9" s="33">
        <f>Teams!A7</f>
        <v/>
      </c>
      <c r="B9" s="33">
        <f>Teams!C7&amp;" — "&amp;Teams!B7</f>
        <v/>
      </c>
      <c r="C9" s="34">
        <f>IF(OR(C$6&lt;Teams!$F7,C$6&gt;Teams!$I7),0,IF(C$6&lt;Teams!$G7,ROUND(Teams!$E7*(C$6-Teams!$F7+1)/(Teams!$G7-Teams!$F7+1),0),IF(C$6&lt;=Teams!$H7,Teams!$E7,ROUND(Teams!$E7*(Teams!$I7-C$6+1)/(Teams!$I7-Teams!$H7),0))))</f>
        <v/>
      </c>
      <c r="D9" s="34">
        <f>IF(OR(D$6&lt;Teams!$F7,D$6&gt;Teams!$I7),0,IF(D$6&lt;Teams!$G7,ROUND(Teams!$E7*(D$6-Teams!$F7+1)/(Teams!$G7-Teams!$F7+1),0),IF(D$6&lt;=Teams!$H7,Teams!$E7,ROUND(Teams!$E7*(Teams!$I7-D$6+1)/(Teams!$I7-Teams!$H7),0))))</f>
        <v/>
      </c>
      <c r="E9" s="34">
        <f>IF(OR(E$6&lt;Teams!$F7,E$6&gt;Teams!$I7),0,IF(E$6&lt;Teams!$G7,ROUND(Teams!$E7*(E$6-Teams!$F7+1)/(Teams!$G7-Teams!$F7+1),0),IF(E$6&lt;=Teams!$H7,Teams!$E7,ROUND(Teams!$E7*(Teams!$I7-E$6+1)/(Teams!$I7-Teams!$H7),0))))</f>
        <v/>
      </c>
      <c r="F9" s="34">
        <f>IF(OR(F$6&lt;Teams!$F7,F$6&gt;Teams!$I7),0,IF(F$6&lt;Teams!$G7,ROUND(Teams!$E7*(F$6-Teams!$F7+1)/(Teams!$G7-Teams!$F7+1),0),IF(F$6&lt;=Teams!$H7,Teams!$E7,ROUND(Teams!$E7*(Teams!$I7-F$6+1)/(Teams!$I7-Teams!$H7),0))))</f>
        <v/>
      </c>
      <c r="G9" s="34">
        <f>IF(OR(G$6&lt;Teams!$F7,G$6&gt;Teams!$I7),0,IF(G$6&lt;Teams!$G7,ROUND(Teams!$E7*(G$6-Teams!$F7+1)/(Teams!$G7-Teams!$F7+1),0),IF(G$6&lt;=Teams!$H7,Teams!$E7,ROUND(Teams!$E7*(Teams!$I7-G$6+1)/(Teams!$I7-Teams!$H7),0))))</f>
        <v/>
      </c>
      <c r="H9" s="34">
        <f>IF(OR(H$6&lt;Teams!$F7,H$6&gt;Teams!$I7),0,IF(H$6&lt;Teams!$G7,ROUND(Teams!$E7*(H$6-Teams!$F7+1)/(Teams!$G7-Teams!$F7+1),0),IF(H$6&lt;=Teams!$H7,Teams!$E7,ROUND(Teams!$E7*(Teams!$I7-H$6+1)/(Teams!$I7-Teams!$H7),0))))</f>
        <v/>
      </c>
      <c r="I9" s="34">
        <f>IF(OR(I$6&lt;Teams!$F7,I$6&gt;Teams!$I7),0,IF(I$6&lt;Teams!$G7,ROUND(Teams!$E7*(I$6-Teams!$F7+1)/(Teams!$G7-Teams!$F7+1),0),IF(I$6&lt;=Teams!$H7,Teams!$E7,ROUND(Teams!$E7*(Teams!$I7-I$6+1)/(Teams!$I7-Teams!$H7),0))))</f>
        <v/>
      </c>
      <c r="J9" s="34">
        <f>IF(OR(J$6&lt;Teams!$F7,J$6&gt;Teams!$I7),0,IF(J$6&lt;Teams!$G7,ROUND(Teams!$E7*(J$6-Teams!$F7+1)/(Teams!$G7-Teams!$F7+1),0),IF(J$6&lt;=Teams!$H7,Teams!$E7,ROUND(Teams!$E7*(Teams!$I7-J$6+1)/(Teams!$I7-Teams!$H7),0))))</f>
        <v/>
      </c>
      <c r="K9" s="34">
        <f>IF(OR(K$6&lt;Teams!$F7,K$6&gt;Teams!$I7),0,IF(K$6&lt;Teams!$G7,ROUND(Teams!$E7*(K$6-Teams!$F7+1)/(Teams!$G7-Teams!$F7+1),0),IF(K$6&lt;=Teams!$H7,Teams!$E7,ROUND(Teams!$E7*(Teams!$I7-K$6+1)/(Teams!$I7-Teams!$H7),0))))</f>
        <v/>
      </c>
      <c r="L9" s="34">
        <f>IF(OR(L$6&lt;Teams!$F7,L$6&gt;Teams!$I7),0,IF(L$6&lt;Teams!$G7,ROUND(Teams!$E7*(L$6-Teams!$F7+1)/(Teams!$G7-Teams!$F7+1),0),IF(L$6&lt;=Teams!$H7,Teams!$E7,ROUND(Teams!$E7*(Teams!$I7-L$6+1)/(Teams!$I7-Teams!$H7),0))))</f>
        <v/>
      </c>
      <c r="M9" s="34">
        <f>IF(OR(M$6&lt;Teams!$F7,M$6&gt;Teams!$I7),0,IF(M$6&lt;Teams!$G7,ROUND(Teams!$E7*(M$6-Teams!$F7+1)/(Teams!$G7-Teams!$F7+1),0),IF(M$6&lt;=Teams!$H7,Teams!$E7,ROUND(Teams!$E7*(Teams!$I7-M$6+1)/(Teams!$I7-Teams!$H7),0))))</f>
        <v/>
      </c>
      <c r="N9" s="34">
        <f>IF(OR(N$6&lt;Teams!$F7,N$6&gt;Teams!$I7),0,IF(N$6&lt;Teams!$G7,ROUND(Teams!$E7*(N$6-Teams!$F7+1)/(Teams!$G7-Teams!$F7+1),0),IF(N$6&lt;=Teams!$H7,Teams!$E7,ROUND(Teams!$E7*(Teams!$I7-N$6+1)/(Teams!$I7-Teams!$H7),0))))</f>
        <v/>
      </c>
      <c r="O9" s="34">
        <f>IF(OR(O$6&lt;Teams!$F7,O$6&gt;Teams!$I7),0,IF(O$6&lt;Teams!$G7,ROUND(Teams!$E7*(O$6-Teams!$F7+1)/(Teams!$G7-Teams!$F7+1),0),IF(O$6&lt;=Teams!$H7,Teams!$E7,ROUND(Teams!$E7*(Teams!$I7-O$6+1)/(Teams!$I7-Teams!$H7),0))))</f>
        <v/>
      </c>
      <c r="P9" s="34">
        <f>IF(OR(P$6&lt;Teams!$F7,P$6&gt;Teams!$I7),0,IF(P$6&lt;Teams!$G7,ROUND(Teams!$E7*(P$6-Teams!$F7+1)/(Teams!$G7-Teams!$F7+1),0),IF(P$6&lt;=Teams!$H7,Teams!$E7,ROUND(Teams!$E7*(Teams!$I7-P$6+1)/(Teams!$I7-Teams!$H7),0))))</f>
        <v/>
      </c>
      <c r="Q9" s="34">
        <f>IF(OR(Q$6&lt;Teams!$F7,Q$6&gt;Teams!$I7),0,IF(Q$6&lt;Teams!$G7,ROUND(Teams!$E7*(Q$6-Teams!$F7+1)/(Teams!$G7-Teams!$F7+1),0),IF(Q$6&lt;=Teams!$H7,Teams!$E7,ROUND(Teams!$E7*(Teams!$I7-Q$6+1)/(Teams!$I7-Teams!$H7),0))))</f>
        <v/>
      </c>
      <c r="R9" s="34">
        <f>IF(OR(R$6&lt;Teams!$F7,R$6&gt;Teams!$I7),0,IF(R$6&lt;Teams!$G7,ROUND(Teams!$E7*(R$6-Teams!$F7+1)/(Teams!$G7-Teams!$F7+1),0),IF(R$6&lt;=Teams!$H7,Teams!$E7,ROUND(Teams!$E7*(Teams!$I7-R$6+1)/(Teams!$I7-Teams!$H7),0))))</f>
        <v/>
      </c>
      <c r="S9" s="34">
        <f>IF(OR(S$6&lt;Teams!$F7,S$6&gt;Teams!$I7),0,IF(S$6&lt;Teams!$G7,ROUND(Teams!$E7*(S$6-Teams!$F7+1)/(Teams!$G7-Teams!$F7+1),0),IF(S$6&lt;=Teams!$H7,Teams!$E7,ROUND(Teams!$E7*(Teams!$I7-S$6+1)/(Teams!$I7-Teams!$H7),0))))</f>
        <v/>
      </c>
      <c r="T9" s="34">
        <f>IF(OR(T$6&lt;Teams!$F7,T$6&gt;Teams!$I7),0,IF(T$6&lt;Teams!$G7,ROUND(Teams!$E7*(T$6-Teams!$F7+1)/(Teams!$G7-Teams!$F7+1),0),IF(T$6&lt;=Teams!$H7,Teams!$E7,ROUND(Teams!$E7*(Teams!$I7-T$6+1)/(Teams!$I7-Teams!$H7),0))))</f>
        <v/>
      </c>
      <c r="U9" s="34">
        <f>IF(OR(U$6&lt;Teams!$F7,U$6&gt;Teams!$I7),0,IF(U$6&lt;Teams!$G7,ROUND(Teams!$E7*(U$6-Teams!$F7+1)/(Teams!$G7-Teams!$F7+1),0),IF(U$6&lt;=Teams!$H7,Teams!$E7,ROUND(Teams!$E7*(Teams!$I7-U$6+1)/(Teams!$I7-Teams!$H7),0))))</f>
        <v/>
      </c>
      <c r="V9" s="34">
        <f>IF(OR(V$6&lt;Teams!$F7,V$6&gt;Teams!$I7),0,IF(V$6&lt;Teams!$G7,ROUND(Teams!$E7*(V$6-Teams!$F7+1)/(Teams!$G7-Teams!$F7+1),0),IF(V$6&lt;=Teams!$H7,Teams!$E7,ROUND(Teams!$E7*(Teams!$I7-V$6+1)/(Teams!$I7-Teams!$H7),0))))</f>
        <v/>
      </c>
      <c r="W9" s="34">
        <f>IF(OR(W$6&lt;Teams!$F7,W$6&gt;Teams!$I7),0,IF(W$6&lt;Teams!$G7,ROUND(Teams!$E7*(W$6-Teams!$F7+1)/(Teams!$G7-Teams!$F7+1),0),IF(W$6&lt;=Teams!$H7,Teams!$E7,ROUND(Teams!$E7*(Teams!$I7-W$6+1)/(Teams!$I7-Teams!$H7),0))))</f>
        <v/>
      </c>
      <c r="X9" s="34">
        <f>IF(OR(X$6&lt;Teams!$F7,X$6&gt;Teams!$I7),0,IF(X$6&lt;Teams!$G7,ROUND(Teams!$E7*(X$6-Teams!$F7+1)/(Teams!$G7-Teams!$F7+1),0),IF(X$6&lt;=Teams!$H7,Teams!$E7,ROUND(Teams!$E7*(Teams!$I7-X$6+1)/(Teams!$I7-Teams!$H7),0))))</f>
        <v/>
      </c>
      <c r="Y9" s="34">
        <f>IF(OR(Y$6&lt;Teams!$F7,Y$6&gt;Teams!$I7),0,IF(Y$6&lt;Teams!$G7,ROUND(Teams!$E7*(Y$6-Teams!$F7+1)/(Teams!$G7-Teams!$F7+1),0),IF(Y$6&lt;=Teams!$H7,Teams!$E7,ROUND(Teams!$E7*(Teams!$I7-Y$6+1)/(Teams!$I7-Teams!$H7),0))))</f>
        <v/>
      </c>
      <c r="Z9" s="34">
        <f>IF(OR(Z$6&lt;Teams!$F7,Z$6&gt;Teams!$I7),0,IF(Z$6&lt;Teams!$G7,ROUND(Teams!$E7*(Z$6-Teams!$F7+1)/(Teams!$G7-Teams!$F7+1),0),IF(Z$6&lt;=Teams!$H7,Teams!$E7,ROUND(Teams!$E7*(Teams!$I7-Z$6+1)/(Teams!$I7-Teams!$H7),0))))</f>
        <v/>
      </c>
      <c r="AA9" s="34">
        <f>IF(OR(AA$6&lt;Teams!$F7,AA$6&gt;Teams!$I7),0,IF(AA$6&lt;Teams!$G7,ROUND(Teams!$E7*(AA$6-Teams!$F7+1)/(Teams!$G7-Teams!$F7+1),0),IF(AA$6&lt;=Teams!$H7,Teams!$E7,ROUND(Teams!$E7*(Teams!$I7-AA$6+1)/(Teams!$I7-Teams!$H7),0))))</f>
        <v/>
      </c>
      <c r="AB9" s="34">
        <f>IF(OR(AB$6&lt;Teams!$F7,AB$6&gt;Teams!$I7),0,IF(AB$6&lt;Teams!$G7,ROUND(Teams!$E7*(AB$6-Teams!$F7+1)/(Teams!$G7-Teams!$F7+1),0),IF(AB$6&lt;=Teams!$H7,Teams!$E7,ROUND(Teams!$E7*(Teams!$I7-AB$6+1)/(Teams!$I7-Teams!$H7),0))))</f>
        <v/>
      </c>
      <c r="AC9" s="34">
        <f>IF(OR(AC$6&lt;Teams!$F7,AC$6&gt;Teams!$I7),0,IF(AC$6&lt;Teams!$G7,ROUND(Teams!$E7*(AC$6-Teams!$F7+1)/(Teams!$G7-Teams!$F7+1),0),IF(AC$6&lt;=Teams!$H7,Teams!$E7,ROUND(Teams!$E7*(Teams!$I7-AC$6+1)/(Teams!$I7-Teams!$H7),0))))</f>
        <v/>
      </c>
      <c r="AD9" s="34">
        <f>IF(OR(AD$6&lt;Teams!$F7,AD$6&gt;Teams!$I7),0,IF(AD$6&lt;Teams!$G7,ROUND(Teams!$E7*(AD$6-Teams!$F7+1)/(Teams!$G7-Teams!$F7+1),0),IF(AD$6&lt;=Teams!$H7,Teams!$E7,ROUND(Teams!$E7*(Teams!$I7-AD$6+1)/(Teams!$I7-Teams!$H7),0))))</f>
        <v/>
      </c>
      <c r="AE9" s="34">
        <f>IF(OR(AE$6&lt;Teams!$F7,AE$6&gt;Teams!$I7),0,IF(AE$6&lt;Teams!$G7,ROUND(Teams!$E7*(AE$6-Teams!$F7+1)/(Teams!$G7-Teams!$F7+1),0),IF(AE$6&lt;=Teams!$H7,Teams!$E7,ROUND(Teams!$E7*(Teams!$I7-AE$6+1)/(Teams!$I7-Teams!$H7),0))))</f>
        <v/>
      </c>
      <c r="AF9" s="34">
        <f>IF(OR(AF$6&lt;Teams!$F7,AF$6&gt;Teams!$I7),0,IF(AF$6&lt;Teams!$G7,ROUND(Teams!$E7*(AF$6-Teams!$F7+1)/(Teams!$G7-Teams!$F7+1),0),IF(AF$6&lt;=Teams!$H7,Teams!$E7,ROUND(Teams!$E7*(Teams!$I7-AF$6+1)/(Teams!$I7-Teams!$H7),0))))</f>
        <v/>
      </c>
      <c r="AG9" s="34">
        <f>IF(OR(AG$6&lt;Teams!$F7,AG$6&gt;Teams!$I7),0,IF(AG$6&lt;Teams!$G7,ROUND(Teams!$E7*(AG$6-Teams!$F7+1)/(Teams!$G7-Teams!$F7+1),0),IF(AG$6&lt;=Teams!$H7,Teams!$E7,ROUND(Teams!$E7*(Teams!$I7-AG$6+1)/(Teams!$I7-Teams!$H7),0))))</f>
        <v/>
      </c>
      <c r="AH9" s="34">
        <f>IF(OR(AH$6&lt;Teams!$F7,AH$6&gt;Teams!$I7),0,IF(AH$6&lt;Teams!$G7,ROUND(Teams!$E7*(AH$6-Teams!$F7+1)/(Teams!$G7-Teams!$F7+1),0),IF(AH$6&lt;=Teams!$H7,Teams!$E7,ROUND(Teams!$E7*(Teams!$I7-AH$6+1)/(Teams!$I7-Teams!$H7),0))))</f>
        <v/>
      </c>
      <c r="AI9" s="34">
        <f>IF(OR(AI$6&lt;Teams!$F7,AI$6&gt;Teams!$I7),0,IF(AI$6&lt;Teams!$G7,ROUND(Teams!$E7*(AI$6-Teams!$F7+1)/(Teams!$G7-Teams!$F7+1),0),IF(AI$6&lt;=Teams!$H7,Teams!$E7,ROUND(Teams!$E7*(Teams!$I7-AI$6+1)/(Teams!$I7-Teams!$H7),0))))</f>
        <v/>
      </c>
      <c r="AJ9" s="34">
        <f>IF(OR(AJ$6&lt;Teams!$F7,AJ$6&gt;Teams!$I7),0,IF(AJ$6&lt;Teams!$G7,ROUND(Teams!$E7*(AJ$6-Teams!$F7+1)/(Teams!$G7-Teams!$F7+1),0),IF(AJ$6&lt;=Teams!$H7,Teams!$E7,ROUND(Teams!$E7*(Teams!$I7-AJ$6+1)/(Teams!$I7-Teams!$H7),0))))</f>
        <v/>
      </c>
      <c r="AK9" s="34">
        <f>IF(OR(AK$6&lt;Teams!$F7,AK$6&gt;Teams!$I7),0,IF(AK$6&lt;Teams!$G7,ROUND(Teams!$E7*(AK$6-Teams!$F7+1)/(Teams!$G7-Teams!$F7+1),0),IF(AK$6&lt;=Teams!$H7,Teams!$E7,ROUND(Teams!$E7*(Teams!$I7-AK$6+1)/(Teams!$I7-Teams!$H7),0))))</f>
        <v/>
      </c>
      <c r="AL9" s="34">
        <f>IF(OR(AL$6&lt;Teams!$F7,AL$6&gt;Teams!$I7),0,IF(AL$6&lt;Teams!$G7,ROUND(Teams!$E7*(AL$6-Teams!$F7+1)/(Teams!$G7-Teams!$F7+1),0),IF(AL$6&lt;=Teams!$H7,Teams!$E7,ROUND(Teams!$E7*(Teams!$I7-AL$6+1)/(Teams!$I7-Teams!$H7),0))))</f>
        <v/>
      </c>
      <c r="AM9" s="34">
        <f>IF(OR(AM$6&lt;Teams!$F7,AM$6&gt;Teams!$I7),0,IF(AM$6&lt;Teams!$G7,ROUND(Teams!$E7*(AM$6-Teams!$F7+1)/(Teams!$G7-Teams!$F7+1),0),IF(AM$6&lt;=Teams!$H7,Teams!$E7,ROUND(Teams!$E7*(Teams!$I7-AM$6+1)/(Teams!$I7-Teams!$H7),0))))</f>
        <v/>
      </c>
      <c r="AN9" s="34">
        <f>IF(OR(AN$6&lt;Teams!$F7,AN$6&gt;Teams!$I7),0,IF(AN$6&lt;Teams!$G7,ROUND(Teams!$E7*(AN$6-Teams!$F7+1)/(Teams!$G7-Teams!$F7+1),0),IF(AN$6&lt;=Teams!$H7,Teams!$E7,ROUND(Teams!$E7*(Teams!$I7-AN$6+1)/(Teams!$I7-Teams!$H7),0))))</f>
        <v/>
      </c>
    </row>
    <row r="10">
      <c r="A10" s="33">
        <f>Teams!A8</f>
        <v/>
      </c>
      <c r="B10" s="33">
        <f>Teams!C8&amp;" — "&amp;Teams!B8</f>
        <v/>
      </c>
      <c r="C10" s="34">
        <f>IF(OR(C$6&lt;Teams!$F8,C$6&gt;Teams!$I8),0,IF(C$6&lt;Teams!$G8,ROUND(Teams!$E8*(C$6-Teams!$F8+1)/(Teams!$G8-Teams!$F8+1),0),IF(C$6&lt;=Teams!$H8,Teams!$E8,ROUND(Teams!$E8*(Teams!$I8-C$6+1)/(Teams!$I8-Teams!$H8),0))))</f>
        <v/>
      </c>
      <c r="D10" s="34">
        <f>IF(OR(D$6&lt;Teams!$F8,D$6&gt;Teams!$I8),0,IF(D$6&lt;Teams!$G8,ROUND(Teams!$E8*(D$6-Teams!$F8+1)/(Teams!$G8-Teams!$F8+1),0),IF(D$6&lt;=Teams!$H8,Teams!$E8,ROUND(Teams!$E8*(Teams!$I8-D$6+1)/(Teams!$I8-Teams!$H8),0))))</f>
        <v/>
      </c>
      <c r="E10" s="34">
        <f>IF(OR(E$6&lt;Teams!$F8,E$6&gt;Teams!$I8),0,IF(E$6&lt;Teams!$G8,ROUND(Teams!$E8*(E$6-Teams!$F8+1)/(Teams!$G8-Teams!$F8+1),0),IF(E$6&lt;=Teams!$H8,Teams!$E8,ROUND(Teams!$E8*(Teams!$I8-E$6+1)/(Teams!$I8-Teams!$H8),0))))</f>
        <v/>
      </c>
      <c r="F10" s="34">
        <f>IF(OR(F$6&lt;Teams!$F8,F$6&gt;Teams!$I8),0,IF(F$6&lt;Teams!$G8,ROUND(Teams!$E8*(F$6-Teams!$F8+1)/(Teams!$G8-Teams!$F8+1),0),IF(F$6&lt;=Teams!$H8,Teams!$E8,ROUND(Teams!$E8*(Teams!$I8-F$6+1)/(Teams!$I8-Teams!$H8),0))))</f>
        <v/>
      </c>
      <c r="G10" s="34">
        <f>IF(OR(G$6&lt;Teams!$F8,G$6&gt;Teams!$I8),0,IF(G$6&lt;Teams!$G8,ROUND(Teams!$E8*(G$6-Teams!$F8+1)/(Teams!$G8-Teams!$F8+1),0),IF(G$6&lt;=Teams!$H8,Teams!$E8,ROUND(Teams!$E8*(Teams!$I8-G$6+1)/(Teams!$I8-Teams!$H8),0))))</f>
        <v/>
      </c>
      <c r="H10" s="34">
        <f>IF(OR(H$6&lt;Teams!$F8,H$6&gt;Teams!$I8),0,IF(H$6&lt;Teams!$G8,ROUND(Teams!$E8*(H$6-Teams!$F8+1)/(Teams!$G8-Teams!$F8+1),0),IF(H$6&lt;=Teams!$H8,Teams!$E8,ROUND(Teams!$E8*(Teams!$I8-H$6+1)/(Teams!$I8-Teams!$H8),0))))</f>
        <v/>
      </c>
      <c r="I10" s="34">
        <f>IF(OR(I$6&lt;Teams!$F8,I$6&gt;Teams!$I8),0,IF(I$6&lt;Teams!$G8,ROUND(Teams!$E8*(I$6-Teams!$F8+1)/(Teams!$G8-Teams!$F8+1),0),IF(I$6&lt;=Teams!$H8,Teams!$E8,ROUND(Teams!$E8*(Teams!$I8-I$6+1)/(Teams!$I8-Teams!$H8),0))))</f>
        <v/>
      </c>
      <c r="J10" s="34">
        <f>IF(OR(J$6&lt;Teams!$F8,J$6&gt;Teams!$I8),0,IF(J$6&lt;Teams!$G8,ROUND(Teams!$E8*(J$6-Teams!$F8+1)/(Teams!$G8-Teams!$F8+1),0),IF(J$6&lt;=Teams!$H8,Teams!$E8,ROUND(Teams!$E8*(Teams!$I8-J$6+1)/(Teams!$I8-Teams!$H8),0))))</f>
        <v/>
      </c>
      <c r="K10" s="34">
        <f>IF(OR(K$6&lt;Teams!$F8,K$6&gt;Teams!$I8),0,IF(K$6&lt;Teams!$G8,ROUND(Teams!$E8*(K$6-Teams!$F8+1)/(Teams!$G8-Teams!$F8+1),0),IF(K$6&lt;=Teams!$H8,Teams!$E8,ROUND(Teams!$E8*(Teams!$I8-K$6+1)/(Teams!$I8-Teams!$H8),0))))</f>
        <v/>
      </c>
      <c r="L10" s="34">
        <f>IF(OR(L$6&lt;Teams!$F8,L$6&gt;Teams!$I8),0,IF(L$6&lt;Teams!$G8,ROUND(Teams!$E8*(L$6-Teams!$F8+1)/(Teams!$G8-Teams!$F8+1),0),IF(L$6&lt;=Teams!$H8,Teams!$E8,ROUND(Teams!$E8*(Teams!$I8-L$6+1)/(Teams!$I8-Teams!$H8),0))))</f>
        <v/>
      </c>
      <c r="M10" s="34">
        <f>IF(OR(M$6&lt;Teams!$F8,M$6&gt;Teams!$I8),0,IF(M$6&lt;Teams!$G8,ROUND(Teams!$E8*(M$6-Teams!$F8+1)/(Teams!$G8-Teams!$F8+1),0),IF(M$6&lt;=Teams!$H8,Teams!$E8,ROUND(Teams!$E8*(Teams!$I8-M$6+1)/(Teams!$I8-Teams!$H8),0))))</f>
        <v/>
      </c>
      <c r="N10" s="34">
        <f>IF(OR(N$6&lt;Teams!$F8,N$6&gt;Teams!$I8),0,IF(N$6&lt;Teams!$G8,ROUND(Teams!$E8*(N$6-Teams!$F8+1)/(Teams!$G8-Teams!$F8+1),0),IF(N$6&lt;=Teams!$H8,Teams!$E8,ROUND(Teams!$E8*(Teams!$I8-N$6+1)/(Teams!$I8-Teams!$H8),0))))</f>
        <v/>
      </c>
      <c r="O10" s="34">
        <f>IF(OR(O$6&lt;Teams!$F8,O$6&gt;Teams!$I8),0,IF(O$6&lt;Teams!$G8,ROUND(Teams!$E8*(O$6-Teams!$F8+1)/(Teams!$G8-Teams!$F8+1),0),IF(O$6&lt;=Teams!$H8,Teams!$E8,ROUND(Teams!$E8*(Teams!$I8-O$6+1)/(Teams!$I8-Teams!$H8),0))))</f>
        <v/>
      </c>
      <c r="P10" s="34">
        <f>IF(OR(P$6&lt;Teams!$F8,P$6&gt;Teams!$I8),0,IF(P$6&lt;Teams!$G8,ROUND(Teams!$E8*(P$6-Teams!$F8+1)/(Teams!$G8-Teams!$F8+1),0),IF(P$6&lt;=Teams!$H8,Teams!$E8,ROUND(Teams!$E8*(Teams!$I8-P$6+1)/(Teams!$I8-Teams!$H8),0))))</f>
        <v/>
      </c>
      <c r="Q10" s="34">
        <f>IF(OR(Q$6&lt;Teams!$F8,Q$6&gt;Teams!$I8),0,IF(Q$6&lt;Teams!$G8,ROUND(Teams!$E8*(Q$6-Teams!$F8+1)/(Teams!$G8-Teams!$F8+1),0),IF(Q$6&lt;=Teams!$H8,Teams!$E8,ROUND(Teams!$E8*(Teams!$I8-Q$6+1)/(Teams!$I8-Teams!$H8),0))))</f>
        <v/>
      </c>
      <c r="R10" s="34">
        <f>IF(OR(R$6&lt;Teams!$F8,R$6&gt;Teams!$I8),0,IF(R$6&lt;Teams!$G8,ROUND(Teams!$E8*(R$6-Teams!$F8+1)/(Teams!$G8-Teams!$F8+1),0),IF(R$6&lt;=Teams!$H8,Teams!$E8,ROUND(Teams!$E8*(Teams!$I8-R$6+1)/(Teams!$I8-Teams!$H8),0))))</f>
        <v/>
      </c>
      <c r="S10" s="34">
        <f>IF(OR(S$6&lt;Teams!$F8,S$6&gt;Teams!$I8),0,IF(S$6&lt;Teams!$G8,ROUND(Teams!$E8*(S$6-Teams!$F8+1)/(Teams!$G8-Teams!$F8+1),0),IF(S$6&lt;=Teams!$H8,Teams!$E8,ROUND(Teams!$E8*(Teams!$I8-S$6+1)/(Teams!$I8-Teams!$H8),0))))</f>
        <v/>
      </c>
      <c r="T10" s="34">
        <f>IF(OR(T$6&lt;Teams!$F8,T$6&gt;Teams!$I8),0,IF(T$6&lt;Teams!$G8,ROUND(Teams!$E8*(T$6-Teams!$F8+1)/(Teams!$G8-Teams!$F8+1),0),IF(T$6&lt;=Teams!$H8,Teams!$E8,ROUND(Teams!$E8*(Teams!$I8-T$6+1)/(Teams!$I8-Teams!$H8),0))))</f>
        <v/>
      </c>
      <c r="U10" s="34">
        <f>IF(OR(U$6&lt;Teams!$F8,U$6&gt;Teams!$I8),0,IF(U$6&lt;Teams!$G8,ROUND(Teams!$E8*(U$6-Teams!$F8+1)/(Teams!$G8-Teams!$F8+1),0),IF(U$6&lt;=Teams!$H8,Teams!$E8,ROUND(Teams!$E8*(Teams!$I8-U$6+1)/(Teams!$I8-Teams!$H8),0))))</f>
        <v/>
      </c>
      <c r="V10" s="34">
        <f>IF(OR(V$6&lt;Teams!$F8,V$6&gt;Teams!$I8),0,IF(V$6&lt;Teams!$G8,ROUND(Teams!$E8*(V$6-Teams!$F8+1)/(Teams!$G8-Teams!$F8+1),0),IF(V$6&lt;=Teams!$H8,Teams!$E8,ROUND(Teams!$E8*(Teams!$I8-V$6+1)/(Teams!$I8-Teams!$H8),0))))</f>
        <v/>
      </c>
      <c r="W10" s="34">
        <f>IF(OR(W$6&lt;Teams!$F8,W$6&gt;Teams!$I8),0,IF(W$6&lt;Teams!$G8,ROUND(Teams!$E8*(W$6-Teams!$F8+1)/(Teams!$G8-Teams!$F8+1),0),IF(W$6&lt;=Teams!$H8,Teams!$E8,ROUND(Teams!$E8*(Teams!$I8-W$6+1)/(Teams!$I8-Teams!$H8),0))))</f>
        <v/>
      </c>
      <c r="X10" s="34">
        <f>IF(OR(X$6&lt;Teams!$F8,X$6&gt;Teams!$I8),0,IF(X$6&lt;Teams!$G8,ROUND(Teams!$E8*(X$6-Teams!$F8+1)/(Teams!$G8-Teams!$F8+1),0),IF(X$6&lt;=Teams!$H8,Teams!$E8,ROUND(Teams!$E8*(Teams!$I8-X$6+1)/(Teams!$I8-Teams!$H8),0))))</f>
        <v/>
      </c>
      <c r="Y10" s="34">
        <f>IF(OR(Y$6&lt;Teams!$F8,Y$6&gt;Teams!$I8),0,IF(Y$6&lt;Teams!$G8,ROUND(Teams!$E8*(Y$6-Teams!$F8+1)/(Teams!$G8-Teams!$F8+1),0),IF(Y$6&lt;=Teams!$H8,Teams!$E8,ROUND(Teams!$E8*(Teams!$I8-Y$6+1)/(Teams!$I8-Teams!$H8),0))))</f>
        <v/>
      </c>
      <c r="Z10" s="34">
        <f>IF(OR(Z$6&lt;Teams!$F8,Z$6&gt;Teams!$I8),0,IF(Z$6&lt;Teams!$G8,ROUND(Teams!$E8*(Z$6-Teams!$F8+1)/(Teams!$G8-Teams!$F8+1),0),IF(Z$6&lt;=Teams!$H8,Teams!$E8,ROUND(Teams!$E8*(Teams!$I8-Z$6+1)/(Teams!$I8-Teams!$H8),0))))</f>
        <v/>
      </c>
      <c r="AA10" s="34">
        <f>IF(OR(AA$6&lt;Teams!$F8,AA$6&gt;Teams!$I8),0,IF(AA$6&lt;Teams!$G8,ROUND(Teams!$E8*(AA$6-Teams!$F8+1)/(Teams!$G8-Teams!$F8+1),0),IF(AA$6&lt;=Teams!$H8,Teams!$E8,ROUND(Teams!$E8*(Teams!$I8-AA$6+1)/(Teams!$I8-Teams!$H8),0))))</f>
        <v/>
      </c>
      <c r="AB10" s="34">
        <f>IF(OR(AB$6&lt;Teams!$F8,AB$6&gt;Teams!$I8),0,IF(AB$6&lt;Teams!$G8,ROUND(Teams!$E8*(AB$6-Teams!$F8+1)/(Teams!$G8-Teams!$F8+1),0),IF(AB$6&lt;=Teams!$H8,Teams!$E8,ROUND(Teams!$E8*(Teams!$I8-AB$6+1)/(Teams!$I8-Teams!$H8),0))))</f>
        <v/>
      </c>
      <c r="AC10" s="34">
        <f>IF(OR(AC$6&lt;Teams!$F8,AC$6&gt;Teams!$I8),0,IF(AC$6&lt;Teams!$G8,ROUND(Teams!$E8*(AC$6-Teams!$F8+1)/(Teams!$G8-Teams!$F8+1),0),IF(AC$6&lt;=Teams!$H8,Teams!$E8,ROUND(Teams!$E8*(Teams!$I8-AC$6+1)/(Teams!$I8-Teams!$H8),0))))</f>
        <v/>
      </c>
      <c r="AD10" s="34">
        <f>IF(OR(AD$6&lt;Teams!$F8,AD$6&gt;Teams!$I8),0,IF(AD$6&lt;Teams!$G8,ROUND(Teams!$E8*(AD$6-Teams!$F8+1)/(Teams!$G8-Teams!$F8+1),0),IF(AD$6&lt;=Teams!$H8,Teams!$E8,ROUND(Teams!$E8*(Teams!$I8-AD$6+1)/(Teams!$I8-Teams!$H8),0))))</f>
        <v/>
      </c>
      <c r="AE10" s="34">
        <f>IF(OR(AE$6&lt;Teams!$F8,AE$6&gt;Teams!$I8),0,IF(AE$6&lt;Teams!$G8,ROUND(Teams!$E8*(AE$6-Teams!$F8+1)/(Teams!$G8-Teams!$F8+1),0),IF(AE$6&lt;=Teams!$H8,Teams!$E8,ROUND(Teams!$E8*(Teams!$I8-AE$6+1)/(Teams!$I8-Teams!$H8),0))))</f>
        <v/>
      </c>
      <c r="AF10" s="34">
        <f>IF(OR(AF$6&lt;Teams!$F8,AF$6&gt;Teams!$I8),0,IF(AF$6&lt;Teams!$G8,ROUND(Teams!$E8*(AF$6-Teams!$F8+1)/(Teams!$G8-Teams!$F8+1),0),IF(AF$6&lt;=Teams!$H8,Teams!$E8,ROUND(Teams!$E8*(Teams!$I8-AF$6+1)/(Teams!$I8-Teams!$H8),0))))</f>
        <v/>
      </c>
      <c r="AG10" s="34">
        <f>IF(OR(AG$6&lt;Teams!$F8,AG$6&gt;Teams!$I8),0,IF(AG$6&lt;Teams!$G8,ROUND(Teams!$E8*(AG$6-Teams!$F8+1)/(Teams!$G8-Teams!$F8+1),0),IF(AG$6&lt;=Teams!$H8,Teams!$E8,ROUND(Teams!$E8*(Teams!$I8-AG$6+1)/(Teams!$I8-Teams!$H8),0))))</f>
        <v/>
      </c>
      <c r="AH10" s="34">
        <f>IF(OR(AH$6&lt;Teams!$F8,AH$6&gt;Teams!$I8),0,IF(AH$6&lt;Teams!$G8,ROUND(Teams!$E8*(AH$6-Teams!$F8+1)/(Teams!$G8-Teams!$F8+1),0),IF(AH$6&lt;=Teams!$H8,Teams!$E8,ROUND(Teams!$E8*(Teams!$I8-AH$6+1)/(Teams!$I8-Teams!$H8),0))))</f>
        <v/>
      </c>
      <c r="AI10" s="34">
        <f>IF(OR(AI$6&lt;Teams!$F8,AI$6&gt;Teams!$I8),0,IF(AI$6&lt;Teams!$G8,ROUND(Teams!$E8*(AI$6-Teams!$F8+1)/(Teams!$G8-Teams!$F8+1),0),IF(AI$6&lt;=Teams!$H8,Teams!$E8,ROUND(Teams!$E8*(Teams!$I8-AI$6+1)/(Teams!$I8-Teams!$H8),0))))</f>
        <v/>
      </c>
      <c r="AJ10" s="34">
        <f>IF(OR(AJ$6&lt;Teams!$F8,AJ$6&gt;Teams!$I8),0,IF(AJ$6&lt;Teams!$G8,ROUND(Teams!$E8*(AJ$6-Teams!$F8+1)/(Teams!$G8-Teams!$F8+1),0),IF(AJ$6&lt;=Teams!$H8,Teams!$E8,ROUND(Teams!$E8*(Teams!$I8-AJ$6+1)/(Teams!$I8-Teams!$H8),0))))</f>
        <v/>
      </c>
      <c r="AK10" s="34">
        <f>IF(OR(AK$6&lt;Teams!$F8,AK$6&gt;Teams!$I8),0,IF(AK$6&lt;Teams!$G8,ROUND(Teams!$E8*(AK$6-Teams!$F8+1)/(Teams!$G8-Teams!$F8+1),0),IF(AK$6&lt;=Teams!$H8,Teams!$E8,ROUND(Teams!$E8*(Teams!$I8-AK$6+1)/(Teams!$I8-Teams!$H8),0))))</f>
        <v/>
      </c>
      <c r="AL10" s="34">
        <f>IF(OR(AL$6&lt;Teams!$F8,AL$6&gt;Teams!$I8),0,IF(AL$6&lt;Teams!$G8,ROUND(Teams!$E8*(AL$6-Teams!$F8+1)/(Teams!$G8-Teams!$F8+1),0),IF(AL$6&lt;=Teams!$H8,Teams!$E8,ROUND(Teams!$E8*(Teams!$I8-AL$6+1)/(Teams!$I8-Teams!$H8),0))))</f>
        <v/>
      </c>
      <c r="AM10" s="34">
        <f>IF(OR(AM$6&lt;Teams!$F8,AM$6&gt;Teams!$I8),0,IF(AM$6&lt;Teams!$G8,ROUND(Teams!$E8*(AM$6-Teams!$F8+1)/(Teams!$G8-Teams!$F8+1),0),IF(AM$6&lt;=Teams!$H8,Teams!$E8,ROUND(Teams!$E8*(Teams!$I8-AM$6+1)/(Teams!$I8-Teams!$H8),0))))</f>
        <v/>
      </c>
      <c r="AN10" s="34">
        <f>IF(OR(AN$6&lt;Teams!$F8,AN$6&gt;Teams!$I8),0,IF(AN$6&lt;Teams!$G8,ROUND(Teams!$E8*(AN$6-Teams!$F8+1)/(Teams!$G8-Teams!$F8+1),0),IF(AN$6&lt;=Teams!$H8,Teams!$E8,ROUND(Teams!$E8*(Teams!$I8-AN$6+1)/(Teams!$I8-Teams!$H8),0))))</f>
        <v/>
      </c>
    </row>
    <row r="11">
      <c r="A11" s="33">
        <f>Teams!A9</f>
        <v/>
      </c>
      <c r="B11" s="33">
        <f>Teams!C9&amp;" — "&amp;Teams!B9</f>
        <v/>
      </c>
      <c r="C11" s="34">
        <f>IF(OR(C$6&lt;Teams!$F9,C$6&gt;Teams!$I9),0,IF(C$6&lt;Teams!$G9,ROUND(Teams!$E9*(C$6-Teams!$F9+1)/(Teams!$G9-Teams!$F9+1),0),IF(C$6&lt;=Teams!$H9,Teams!$E9,ROUND(Teams!$E9*(Teams!$I9-C$6+1)/(Teams!$I9-Teams!$H9),0))))</f>
        <v/>
      </c>
      <c r="D11" s="34">
        <f>IF(OR(D$6&lt;Teams!$F9,D$6&gt;Teams!$I9),0,IF(D$6&lt;Teams!$G9,ROUND(Teams!$E9*(D$6-Teams!$F9+1)/(Teams!$G9-Teams!$F9+1),0),IF(D$6&lt;=Teams!$H9,Teams!$E9,ROUND(Teams!$E9*(Teams!$I9-D$6+1)/(Teams!$I9-Teams!$H9),0))))</f>
        <v/>
      </c>
      <c r="E11" s="34">
        <f>IF(OR(E$6&lt;Teams!$F9,E$6&gt;Teams!$I9),0,IF(E$6&lt;Teams!$G9,ROUND(Teams!$E9*(E$6-Teams!$F9+1)/(Teams!$G9-Teams!$F9+1),0),IF(E$6&lt;=Teams!$H9,Teams!$E9,ROUND(Teams!$E9*(Teams!$I9-E$6+1)/(Teams!$I9-Teams!$H9),0))))</f>
        <v/>
      </c>
      <c r="F11" s="34">
        <f>IF(OR(F$6&lt;Teams!$F9,F$6&gt;Teams!$I9),0,IF(F$6&lt;Teams!$G9,ROUND(Teams!$E9*(F$6-Teams!$F9+1)/(Teams!$G9-Teams!$F9+1),0),IF(F$6&lt;=Teams!$H9,Teams!$E9,ROUND(Teams!$E9*(Teams!$I9-F$6+1)/(Teams!$I9-Teams!$H9),0))))</f>
        <v/>
      </c>
      <c r="G11" s="34">
        <f>IF(OR(G$6&lt;Teams!$F9,G$6&gt;Teams!$I9),0,IF(G$6&lt;Teams!$G9,ROUND(Teams!$E9*(G$6-Teams!$F9+1)/(Teams!$G9-Teams!$F9+1),0),IF(G$6&lt;=Teams!$H9,Teams!$E9,ROUND(Teams!$E9*(Teams!$I9-G$6+1)/(Teams!$I9-Teams!$H9),0))))</f>
        <v/>
      </c>
      <c r="H11" s="34">
        <f>IF(OR(H$6&lt;Teams!$F9,H$6&gt;Teams!$I9),0,IF(H$6&lt;Teams!$G9,ROUND(Teams!$E9*(H$6-Teams!$F9+1)/(Teams!$G9-Teams!$F9+1),0),IF(H$6&lt;=Teams!$H9,Teams!$E9,ROUND(Teams!$E9*(Teams!$I9-H$6+1)/(Teams!$I9-Teams!$H9),0))))</f>
        <v/>
      </c>
      <c r="I11" s="34">
        <f>IF(OR(I$6&lt;Teams!$F9,I$6&gt;Teams!$I9),0,IF(I$6&lt;Teams!$G9,ROUND(Teams!$E9*(I$6-Teams!$F9+1)/(Teams!$G9-Teams!$F9+1),0),IF(I$6&lt;=Teams!$H9,Teams!$E9,ROUND(Teams!$E9*(Teams!$I9-I$6+1)/(Teams!$I9-Teams!$H9),0))))</f>
        <v/>
      </c>
      <c r="J11" s="34">
        <f>IF(OR(J$6&lt;Teams!$F9,J$6&gt;Teams!$I9),0,IF(J$6&lt;Teams!$G9,ROUND(Teams!$E9*(J$6-Teams!$F9+1)/(Teams!$G9-Teams!$F9+1),0),IF(J$6&lt;=Teams!$H9,Teams!$E9,ROUND(Teams!$E9*(Teams!$I9-J$6+1)/(Teams!$I9-Teams!$H9),0))))</f>
        <v/>
      </c>
      <c r="K11" s="34">
        <f>IF(OR(K$6&lt;Teams!$F9,K$6&gt;Teams!$I9),0,IF(K$6&lt;Teams!$G9,ROUND(Teams!$E9*(K$6-Teams!$F9+1)/(Teams!$G9-Teams!$F9+1),0),IF(K$6&lt;=Teams!$H9,Teams!$E9,ROUND(Teams!$E9*(Teams!$I9-K$6+1)/(Teams!$I9-Teams!$H9),0))))</f>
        <v/>
      </c>
      <c r="L11" s="34">
        <f>IF(OR(L$6&lt;Teams!$F9,L$6&gt;Teams!$I9),0,IF(L$6&lt;Teams!$G9,ROUND(Teams!$E9*(L$6-Teams!$F9+1)/(Teams!$G9-Teams!$F9+1),0),IF(L$6&lt;=Teams!$H9,Teams!$E9,ROUND(Teams!$E9*(Teams!$I9-L$6+1)/(Teams!$I9-Teams!$H9),0))))</f>
        <v/>
      </c>
      <c r="M11" s="34">
        <f>IF(OR(M$6&lt;Teams!$F9,M$6&gt;Teams!$I9),0,IF(M$6&lt;Teams!$G9,ROUND(Teams!$E9*(M$6-Teams!$F9+1)/(Teams!$G9-Teams!$F9+1),0),IF(M$6&lt;=Teams!$H9,Teams!$E9,ROUND(Teams!$E9*(Teams!$I9-M$6+1)/(Teams!$I9-Teams!$H9),0))))</f>
        <v/>
      </c>
      <c r="N11" s="34">
        <f>IF(OR(N$6&lt;Teams!$F9,N$6&gt;Teams!$I9),0,IF(N$6&lt;Teams!$G9,ROUND(Teams!$E9*(N$6-Teams!$F9+1)/(Teams!$G9-Teams!$F9+1),0),IF(N$6&lt;=Teams!$H9,Teams!$E9,ROUND(Teams!$E9*(Teams!$I9-N$6+1)/(Teams!$I9-Teams!$H9),0))))</f>
        <v/>
      </c>
      <c r="O11" s="34">
        <f>IF(OR(O$6&lt;Teams!$F9,O$6&gt;Teams!$I9),0,IF(O$6&lt;Teams!$G9,ROUND(Teams!$E9*(O$6-Teams!$F9+1)/(Teams!$G9-Teams!$F9+1),0),IF(O$6&lt;=Teams!$H9,Teams!$E9,ROUND(Teams!$E9*(Teams!$I9-O$6+1)/(Teams!$I9-Teams!$H9),0))))</f>
        <v/>
      </c>
      <c r="P11" s="34">
        <f>IF(OR(P$6&lt;Teams!$F9,P$6&gt;Teams!$I9),0,IF(P$6&lt;Teams!$G9,ROUND(Teams!$E9*(P$6-Teams!$F9+1)/(Teams!$G9-Teams!$F9+1),0),IF(P$6&lt;=Teams!$H9,Teams!$E9,ROUND(Teams!$E9*(Teams!$I9-P$6+1)/(Teams!$I9-Teams!$H9),0))))</f>
        <v/>
      </c>
      <c r="Q11" s="34">
        <f>IF(OR(Q$6&lt;Teams!$F9,Q$6&gt;Teams!$I9),0,IF(Q$6&lt;Teams!$G9,ROUND(Teams!$E9*(Q$6-Teams!$F9+1)/(Teams!$G9-Teams!$F9+1),0),IF(Q$6&lt;=Teams!$H9,Teams!$E9,ROUND(Teams!$E9*(Teams!$I9-Q$6+1)/(Teams!$I9-Teams!$H9),0))))</f>
        <v/>
      </c>
      <c r="R11" s="34">
        <f>IF(OR(R$6&lt;Teams!$F9,R$6&gt;Teams!$I9),0,IF(R$6&lt;Teams!$G9,ROUND(Teams!$E9*(R$6-Teams!$F9+1)/(Teams!$G9-Teams!$F9+1),0),IF(R$6&lt;=Teams!$H9,Teams!$E9,ROUND(Teams!$E9*(Teams!$I9-R$6+1)/(Teams!$I9-Teams!$H9),0))))</f>
        <v/>
      </c>
      <c r="S11" s="34">
        <f>IF(OR(S$6&lt;Teams!$F9,S$6&gt;Teams!$I9),0,IF(S$6&lt;Teams!$G9,ROUND(Teams!$E9*(S$6-Teams!$F9+1)/(Teams!$G9-Teams!$F9+1),0),IF(S$6&lt;=Teams!$H9,Teams!$E9,ROUND(Teams!$E9*(Teams!$I9-S$6+1)/(Teams!$I9-Teams!$H9),0))))</f>
        <v/>
      </c>
      <c r="T11" s="34">
        <f>IF(OR(T$6&lt;Teams!$F9,T$6&gt;Teams!$I9),0,IF(T$6&lt;Teams!$G9,ROUND(Teams!$E9*(T$6-Teams!$F9+1)/(Teams!$G9-Teams!$F9+1),0),IF(T$6&lt;=Teams!$H9,Teams!$E9,ROUND(Teams!$E9*(Teams!$I9-T$6+1)/(Teams!$I9-Teams!$H9),0))))</f>
        <v/>
      </c>
      <c r="U11" s="34">
        <f>IF(OR(U$6&lt;Teams!$F9,U$6&gt;Teams!$I9),0,IF(U$6&lt;Teams!$G9,ROUND(Teams!$E9*(U$6-Teams!$F9+1)/(Teams!$G9-Teams!$F9+1),0),IF(U$6&lt;=Teams!$H9,Teams!$E9,ROUND(Teams!$E9*(Teams!$I9-U$6+1)/(Teams!$I9-Teams!$H9),0))))</f>
        <v/>
      </c>
      <c r="V11" s="34">
        <f>IF(OR(V$6&lt;Teams!$F9,V$6&gt;Teams!$I9),0,IF(V$6&lt;Teams!$G9,ROUND(Teams!$E9*(V$6-Teams!$F9+1)/(Teams!$G9-Teams!$F9+1),0),IF(V$6&lt;=Teams!$H9,Teams!$E9,ROUND(Teams!$E9*(Teams!$I9-V$6+1)/(Teams!$I9-Teams!$H9),0))))</f>
        <v/>
      </c>
      <c r="W11" s="34">
        <f>IF(OR(W$6&lt;Teams!$F9,W$6&gt;Teams!$I9),0,IF(W$6&lt;Teams!$G9,ROUND(Teams!$E9*(W$6-Teams!$F9+1)/(Teams!$G9-Teams!$F9+1),0),IF(W$6&lt;=Teams!$H9,Teams!$E9,ROUND(Teams!$E9*(Teams!$I9-W$6+1)/(Teams!$I9-Teams!$H9),0))))</f>
        <v/>
      </c>
      <c r="X11" s="34">
        <f>IF(OR(X$6&lt;Teams!$F9,X$6&gt;Teams!$I9),0,IF(X$6&lt;Teams!$G9,ROUND(Teams!$E9*(X$6-Teams!$F9+1)/(Teams!$G9-Teams!$F9+1),0),IF(X$6&lt;=Teams!$H9,Teams!$E9,ROUND(Teams!$E9*(Teams!$I9-X$6+1)/(Teams!$I9-Teams!$H9),0))))</f>
        <v/>
      </c>
      <c r="Y11" s="34">
        <f>IF(OR(Y$6&lt;Teams!$F9,Y$6&gt;Teams!$I9),0,IF(Y$6&lt;Teams!$G9,ROUND(Teams!$E9*(Y$6-Teams!$F9+1)/(Teams!$G9-Teams!$F9+1),0),IF(Y$6&lt;=Teams!$H9,Teams!$E9,ROUND(Teams!$E9*(Teams!$I9-Y$6+1)/(Teams!$I9-Teams!$H9),0))))</f>
        <v/>
      </c>
      <c r="Z11" s="34">
        <f>IF(OR(Z$6&lt;Teams!$F9,Z$6&gt;Teams!$I9),0,IF(Z$6&lt;Teams!$G9,ROUND(Teams!$E9*(Z$6-Teams!$F9+1)/(Teams!$G9-Teams!$F9+1),0),IF(Z$6&lt;=Teams!$H9,Teams!$E9,ROUND(Teams!$E9*(Teams!$I9-Z$6+1)/(Teams!$I9-Teams!$H9),0))))</f>
        <v/>
      </c>
      <c r="AA11" s="34">
        <f>IF(OR(AA$6&lt;Teams!$F9,AA$6&gt;Teams!$I9),0,IF(AA$6&lt;Teams!$G9,ROUND(Teams!$E9*(AA$6-Teams!$F9+1)/(Teams!$G9-Teams!$F9+1),0),IF(AA$6&lt;=Teams!$H9,Teams!$E9,ROUND(Teams!$E9*(Teams!$I9-AA$6+1)/(Teams!$I9-Teams!$H9),0))))</f>
        <v/>
      </c>
      <c r="AB11" s="34">
        <f>IF(OR(AB$6&lt;Teams!$F9,AB$6&gt;Teams!$I9),0,IF(AB$6&lt;Teams!$G9,ROUND(Teams!$E9*(AB$6-Teams!$F9+1)/(Teams!$G9-Teams!$F9+1),0),IF(AB$6&lt;=Teams!$H9,Teams!$E9,ROUND(Teams!$E9*(Teams!$I9-AB$6+1)/(Teams!$I9-Teams!$H9),0))))</f>
        <v/>
      </c>
      <c r="AC11" s="34">
        <f>IF(OR(AC$6&lt;Teams!$F9,AC$6&gt;Teams!$I9),0,IF(AC$6&lt;Teams!$G9,ROUND(Teams!$E9*(AC$6-Teams!$F9+1)/(Teams!$G9-Teams!$F9+1),0),IF(AC$6&lt;=Teams!$H9,Teams!$E9,ROUND(Teams!$E9*(Teams!$I9-AC$6+1)/(Teams!$I9-Teams!$H9),0))))</f>
        <v/>
      </c>
      <c r="AD11" s="34">
        <f>IF(OR(AD$6&lt;Teams!$F9,AD$6&gt;Teams!$I9),0,IF(AD$6&lt;Teams!$G9,ROUND(Teams!$E9*(AD$6-Teams!$F9+1)/(Teams!$G9-Teams!$F9+1),0),IF(AD$6&lt;=Teams!$H9,Teams!$E9,ROUND(Teams!$E9*(Teams!$I9-AD$6+1)/(Teams!$I9-Teams!$H9),0))))</f>
        <v/>
      </c>
      <c r="AE11" s="34">
        <f>IF(OR(AE$6&lt;Teams!$F9,AE$6&gt;Teams!$I9),0,IF(AE$6&lt;Teams!$G9,ROUND(Teams!$E9*(AE$6-Teams!$F9+1)/(Teams!$G9-Teams!$F9+1),0),IF(AE$6&lt;=Teams!$H9,Teams!$E9,ROUND(Teams!$E9*(Teams!$I9-AE$6+1)/(Teams!$I9-Teams!$H9),0))))</f>
        <v/>
      </c>
      <c r="AF11" s="34">
        <f>IF(OR(AF$6&lt;Teams!$F9,AF$6&gt;Teams!$I9),0,IF(AF$6&lt;Teams!$G9,ROUND(Teams!$E9*(AF$6-Teams!$F9+1)/(Teams!$G9-Teams!$F9+1),0),IF(AF$6&lt;=Teams!$H9,Teams!$E9,ROUND(Teams!$E9*(Teams!$I9-AF$6+1)/(Teams!$I9-Teams!$H9),0))))</f>
        <v/>
      </c>
      <c r="AG11" s="34">
        <f>IF(OR(AG$6&lt;Teams!$F9,AG$6&gt;Teams!$I9),0,IF(AG$6&lt;Teams!$G9,ROUND(Teams!$E9*(AG$6-Teams!$F9+1)/(Teams!$G9-Teams!$F9+1),0),IF(AG$6&lt;=Teams!$H9,Teams!$E9,ROUND(Teams!$E9*(Teams!$I9-AG$6+1)/(Teams!$I9-Teams!$H9),0))))</f>
        <v/>
      </c>
      <c r="AH11" s="34">
        <f>IF(OR(AH$6&lt;Teams!$F9,AH$6&gt;Teams!$I9),0,IF(AH$6&lt;Teams!$G9,ROUND(Teams!$E9*(AH$6-Teams!$F9+1)/(Teams!$G9-Teams!$F9+1),0),IF(AH$6&lt;=Teams!$H9,Teams!$E9,ROUND(Teams!$E9*(Teams!$I9-AH$6+1)/(Teams!$I9-Teams!$H9),0))))</f>
        <v/>
      </c>
      <c r="AI11" s="34">
        <f>IF(OR(AI$6&lt;Teams!$F9,AI$6&gt;Teams!$I9),0,IF(AI$6&lt;Teams!$G9,ROUND(Teams!$E9*(AI$6-Teams!$F9+1)/(Teams!$G9-Teams!$F9+1),0),IF(AI$6&lt;=Teams!$H9,Teams!$E9,ROUND(Teams!$E9*(Teams!$I9-AI$6+1)/(Teams!$I9-Teams!$H9),0))))</f>
        <v/>
      </c>
      <c r="AJ11" s="34">
        <f>IF(OR(AJ$6&lt;Teams!$F9,AJ$6&gt;Teams!$I9),0,IF(AJ$6&lt;Teams!$G9,ROUND(Teams!$E9*(AJ$6-Teams!$F9+1)/(Teams!$G9-Teams!$F9+1),0),IF(AJ$6&lt;=Teams!$H9,Teams!$E9,ROUND(Teams!$E9*(Teams!$I9-AJ$6+1)/(Teams!$I9-Teams!$H9),0))))</f>
        <v/>
      </c>
      <c r="AK11" s="34">
        <f>IF(OR(AK$6&lt;Teams!$F9,AK$6&gt;Teams!$I9),0,IF(AK$6&lt;Teams!$G9,ROUND(Teams!$E9*(AK$6-Teams!$F9+1)/(Teams!$G9-Teams!$F9+1),0),IF(AK$6&lt;=Teams!$H9,Teams!$E9,ROUND(Teams!$E9*(Teams!$I9-AK$6+1)/(Teams!$I9-Teams!$H9),0))))</f>
        <v/>
      </c>
      <c r="AL11" s="34">
        <f>IF(OR(AL$6&lt;Teams!$F9,AL$6&gt;Teams!$I9),0,IF(AL$6&lt;Teams!$G9,ROUND(Teams!$E9*(AL$6-Teams!$F9+1)/(Teams!$G9-Teams!$F9+1),0),IF(AL$6&lt;=Teams!$H9,Teams!$E9,ROUND(Teams!$E9*(Teams!$I9-AL$6+1)/(Teams!$I9-Teams!$H9),0))))</f>
        <v/>
      </c>
      <c r="AM11" s="34">
        <f>IF(OR(AM$6&lt;Teams!$F9,AM$6&gt;Teams!$I9),0,IF(AM$6&lt;Teams!$G9,ROUND(Teams!$E9*(AM$6-Teams!$F9+1)/(Teams!$G9-Teams!$F9+1),0),IF(AM$6&lt;=Teams!$H9,Teams!$E9,ROUND(Teams!$E9*(Teams!$I9-AM$6+1)/(Teams!$I9-Teams!$H9),0))))</f>
        <v/>
      </c>
      <c r="AN11" s="34">
        <f>IF(OR(AN$6&lt;Teams!$F9,AN$6&gt;Teams!$I9),0,IF(AN$6&lt;Teams!$G9,ROUND(Teams!$E9*(AN$6-Teams!$F9+1)/(Teams!$G9-Teams!$F9+1),0),IF(AN$6&lt;=Teams!$H9,Teams!$E9,ROUND(Teams!$E9*(Teams!$I9-AN$6+1)/(Teams!$I9-Teams!$H9),0))))</f>
        <v/>
      </c>
    </row>
    <row r="12">
      <c r="A12" s="33">
        <f>Teams!A10</f>
        <v/>
      </c>
      <c r="B12" s="33">
        <f>Teams!C10&amp;" — "&amp;Teams!B10</f>
        <v/>
      </c>
      <c r="C12" s="34">
        <f>IF(OR(C$6&lt;Teams!$F10,C$6&gt;Teams!$I10),0,IF(C$6&lt;Teams!$G10,ROUND(Teams!$E10*(C$6-Teams!$F10+1)/(Teams!$G10-Teams!$F10+1),0),IF(C$6&lt;=Teams!$H10,Teams!$E10,ROUND(Teams!$E10*(Teams!$I10-C$6+1)/(Teams!$I10-Teams!$H10),0))))</f>
        <v/>
      </c>
      <c r="D12" s="34">
        <f>IF(OR(D$6&lt;Teams!$F10,D$6&gt;Teams!$I10),0,IF(D$6&lt;Teams!$G10,ROUND(Teams!$E10*(D$6-Teams!$F10+1)/(Teams!$G10-Teams!$F10+1),0),IF(D$6&lt;=Teams!$H10,Teams!$E10,ROUND(Teams!$E10*(Teams!$I10-D$6+1)/(Teams!$I10-Teams!$H10),0))))</f>
        <v/>
      </c>
      <c r="E12" s="34">
        <f>IF(OR(E$6&lt;Teams!$F10,E$6&gt;Teams!$I10),0,IF(E$6&lt;Teams!$G10,ROUND(Teams!$E10*(E$6-Teams!$F10+1)/(Teams!$G10-Teams!$F10+1),0),IF(E$6&lt;=Teams!$H10,Teams!$E10,ROUND(Teams!$E10*(Teams!$I10-E$6+1)/(Teams!$I10-Teams!$H10),0))))</f>
        <v/>
      </c>
      <c r="F12" s="34">
        <f>IF(OR(F$6&lt;Teams!$F10,F$6&gt;Teams!$I10),0,IF(F$6&lt;Teams!$G10,ROUND(Teams!$E10*(F$6-Teams!$F10+1)/(Teams!$G10-Teams!$F10+1),0),IF(F$6&lt;=Teams!$H10,Teams!$E10,ROUND(Teams!$E10*(Teams!$I10-F$6+1)/(Teams!$I10-Teams!$H10),0))))</f>
        <v/>
      </c>
      <c r="G12" s="34">
        <f>IF(OR(G$6&lt;Teams!$F10,G$6&gt;Teams!$I10),0,IF(G$6&lt;Teams!$G10,ROUND(Teams!$E10*(G$6-Teams!$F10+1)/(Teams!$G10-Teams!$F10+1),0),IF(G$6&lt;=Teams!$H10,Teams!$E10,ROUND(Teams!$E10*(Teams!$I10-G$6+1)/(Teams!$I10-Teams!$H10),0))))</f>
        <v/>
      </c>
      <c r="H12" s="34">
        <f>IF(OR(H$6&lt;Teams!$F10,H$6&gt;Teams!$I10),0,IF(H$6&lt;Teams!$G10,ROUND(Teams!$E10*(H$6-Teams!$F10+1)/(Teams!$G10-Teams!$F10+1),0),IF(H$6&lt;=Teams!$H10,Teams!$E10,ROUND(Teams!$E10*(Teams!$I10-H$6+1)/(Teams!$I10-Teams!$H10),0))))</f>
        <v/>
      </c>
      <c r="I12" s="34">
        <f>IF(OR(I$6&lt;Teams!$F10,I$6&gt;Teams!$I10),0,IF(I$6&lt;Teams!$G10,ROUND(Teams!$E10*(I$6-Teams!$F10+1)/(Teams!$G10-Teams!$F10+1),0),IF(I$6&lt;=Teams!$H10,Teams!$E10,ROUND(Teams!$E10*(Teams!$I10-I$6+1)/(Teams!$I10-Teams!$H10),0))))</f>
        <v/>
      </c>
      <c r="J12" s="34">
        <f>IF(OR(J$6&lt;Teams!$F10,J$6&gt;Teams!$I10),0,IF(J$6&lt;Teams!$G10,ROUND(Teams!$E10*(J$6-Teams!$F10+1)/(Teams!$G10-Teams!$F10+1),0),IF(J$6&lt;=Teams!$H10,Teams!$E10,ROUND(Teams!$E10*(Teams!$I10-J$6+1)/(Teams!$I10-Teams!$H10),0))))</f>
        <v/>
      </c>
      <c r="K12" s="34">
        <f>IF(OR(K$6&lt;Teams!$F10,K$6&gt;Teams!$I10),0,IF(K$6&lt;Teams!$G10,ROUND(Teams!$E10*(K$6-Teams!$F10+1)/(Teams!$G10-Teams!$F10+1),0),IF(K$6&lt;=Teams!$H10,Teams!$E10,ROUND(Teams!$E10*(Teams!$I10-K$6+1)/(Teams!$I10-Teams!$H10),0))))</f>
        <v/>
      </c>
      <c r="L12" s="34">
        <f>IF(OR(L$6&lt;Teams!$F10,L$6&gt;Teams!$I10),0,IF(L$6&lt;Teams!$G10,ROUND(Teams!$E10*(L$6-Teams!$F10+1)/(Teams!$G10-Teams!$F10+1),0),IF(L$6&lt;=Teams!$H10,Teams!$E10,ROUND(Teams!$E10*(Teams!$I10-L$6+1)/(Teams!$I10-Teams!$H10),0))))</f>
        <v/>
      </c>
      <c r="M12" s="34">
        <f>IF(OR(M$6&lt;Teams!$F10,M$6&gt;Teams!$I10),0,IF(M$6&lt;Teams!$G10,ROUND(Teams!$E10*(M$6-Teams!$F10+1)/(Teams!$G10-Teams!$F10+1),0),IF(M$6&lt;=Teams!$H10,Teams!$E10,ROUND(Teams!$E10*(Teams!$I10-M$6+1)/(Teams!$I10-Teams!$H10),0))))</f>
        <v/>
      </c>
      <c r="N12" s="34">
        <f>IF(OR(N$6&lt;Teams!$F10,N$6&gt;Teams!$I10),0,IF(N$6&lt;Teams!$G10,ROUND(Teams!$E10*(N$6-Teams!$F10+1)/(Teams!$G10-Teams!$F10+1),0),IF(N$6&lt;=Teams!$H10,Teams!$E10,ROUND(Teams!$E10*(Teams!$I10-N$6+1)/(Teams!$I10-Teams!$H10),0))))</f>
        <v/>
      </c>
      <c r="O12" s="34">
        <f>IF(OR(O$6&lt;Teams!$F10,O$6&gt;Teams!$I10),0,IF(O$6&lt;Teams!$G10,ROUND(Teams!$E10*(O$6-Teams!$F10+1)/(Teams!$G10-Teams!$F10+1),0),IF(O$6&lt;=Teams!$H10,Teams!$E10,ROUND(Teams!$E10*(Teams!$I10-O$6+1)/(Teams!$I10-Teams!$H10),0))))</f>
        <v/>
      </c>
      <c r="P12" s="34">
        <f>IF(OR(P$6&lt;Teams!$F10,P$6&gt;Teams!$I10),0,IF(P$6&lt;Teams!$G10,ROUND(Teams!$E10*(P$6-Teams!$F10+1)/(Teams!$G10-Teams!$F10+1),0),IF(P$6&lt;=Teams!$H10,Teams!$E10,ROUND(Teams!$E10*(Teams!$I10-P$6+1)/(Teams!$I10-Teams!$H10),0))))</f>
        <v/>
      </c>
      <c r="Q12" s="34">
        <f>IF(OR(Q$6&lt;Teams!$F10,Q$6&gt;Teams!$I10),0,IF(Q$6&lt;Teams!$G10,ROUND(Teams!$E10*(Q$6-Teams!$F10+1)/(Teams!$G10-Teams!$F10+1),0),IF(Q$6&lt;=Teams!$H10,Teams!$E10,ROUND(Teams!$E10*(Teams!$I10-Q$6+1)/(Teams!$I10-Teams!$H10),0))))</f>
        <v/>
      </c>
      <c r="R12" s="34">
        <f>IF(OR(R$6&lt;Teams!$F10,R$6&gt;Teams!$I10),0,IF(R$6&lt;Teams!$G10,ROUND(Teams!$E10*(R$6-Teams!$F10+1)/(Teams!$G10-Teams!$F10+1),0),IF(R$6&lt;=Teams!$H10,Teams!$E10,ROUND(Teams!$E10*(Teams!$I10-R$6+1)/(Teams!$I10-Teams!$H10),0))))</f>
        <v/>
      </c>
      <c r="S12" s="34">
        <f>IF(OR(S$6&lt;Teams!$F10,S$6&gt;Teams!$I10),0,IF(S$6&lt;Teams!$G10,ROUND(Teams!$E10*(S$6-Teams!$F10+1)/(Teams!$G10-Teams!$F10+1),0),IF(S$6&lt;=Teams!$H10,Teams!$E10,ROUND(Teams!$E10*(Teams!$I10-S$6+1)/(Teams!$I10-Teams!$H10),0))))</f>
        <v/>
      </c>
      <c r="T12" s="34">
        <f>IF(OR(T$6&lt;Teams!$F10,T$6&gt;Teams!$I10),0,IF(T$6&lt;Teams!$G10,ROUND(Teams!$E10*(T$6-Teams!$F10+1)/(Teams!$G10-Teams!$F10+1),0),IF(T$6&lt;=Teams!$H10,Teams!$E10,ROUND(Teams!$E10*(Teams!$I10-T$6+1)/(Teams!$I10-Teams!$H10),0))))</f>
        <v/>
      </c>
      <c r="U12" s="34">
        <f>IF(OR(U$6&lt;Teams!$F10,U$6&gt;Teams!$I10),0,IF(U$6&lt;Teams!$G10,ROUND(Teams!$E10*(U$6-Teams!$F10+1)/(Teams!$G10-Teams!$F10+1),0),IF(U$6&lt;=Teams!$H10,Teams!$E10,ROUND(Teams!$E10*(Teams!$I10-U$6+1)/(Teams!$I10-Teams!$H10),0))))</f>
        <v/>
      </c>
      <c r="V12" s="34">
        <f>IF(OR(V$6&lt;Teams!$F10,V$6&gt;Teams!$I10),0,IF(V$6&lt;Teams!$G10,ROUND(Teams!$E10*(V$6-Teams!$F10+1)/(Teams!$G10-Teams!$F10+1),0),IF(V$6&lt;=Teams!$H10,Teams!$E10,ROUND(Teams!$E10*(Teams!$I10-V$6+1)/(Teams!$I10-Teams!$H10),0))))</f>
        <v/>
      </c>
      <c r="W12" s="34">
        <f>IF(OR(W$6&lt;Teams!$F10,W$6&gt;Teams!$I10),0,IF(W$6&lt;Teams!$G10,ROUND(Teams!$E10*(W$6-Teams!$F10+1)/(Teams!$G10-Teams!$F10+1),0),IF(W$6&lt;=Teams!$H10,Teams!$E10,ROUND(Teams!$E10*(Teams!$I10-W$6+1)/(Teams!$I10-Teams!$H10),0))))</f>
        <v/>
      </c>
      <c r="X12" s="34">
        <f>IF(OR(X$6&lt;Teams!$F10,X$6&gt;Teams!$I10),0,IF(X$6&lt;Teams!$G10,ROUND(Teams!$E10*(X$6-Teams!$F10+1)/(Teams!$G10-Teams!$F10+1),0),IF(X$6&lt;=Teams!$H10,Teams!$E10,ROUND(Teams!$E10*(Teams!$I10-X$6+1)/(Teams!$I10-Teams!$H10),0))))</f>
        <v/>
      </c>
      <c r="Y12" s="34">
        <f>IF(OR(Y$6&lt;Teams!$F10,Y$6&gt;Teams!$I10),0,IF(Y$6&lt;Teams!$G10,ROUND(Teams!$E10*(Y$6-Teams!$F10+1)/(Teams!$G10-Teams!$F10+1),0),IF(Y$6&lt;=Teams!$H10,Teams!$E10,ROUND(Teams!$E10*(Teams!$I10-Y$6+1)/(Teams!$I10-Teams!$H10),0))))</f>
        <v/>
      </c>
      <c r="Z12" s="34">
        <f>IF(OR(Z$6&lt;Teams!$F10,Z$6&gt;Teams!$I10),0,IF(Z$6&lt;Teams!$G10,ROUND(Teams!$E10*(Z$6-Teams!$F10+1)/(Teams!$G10-Teams!$F10+1),0),IF(Z$6&lt;=Teams!$H10,Teams!$E10,ROUND(Teams!$E10*(Teams!$I10-Z$6+1)/(Teams!$I10-Teams!$H10),0))))</f>
        <v/>
      </c>
      <c r="AA12" s="34">
        <f>IF(OR(AA$6&lt;Teams!$F10,AA$6&gt;Teams!$I10),0,IF(AA$6&lt;Teams!$G10,ROUND(Teams!$E10*(AA$6-Teams!$F10+1)/(Teams!$G10-Teams!$F10+1),0),IF(AA$6&lt;=Teams!$H10,Teams!$E10,ROUND(Teams!$E10*(Teams!$I10-AA$6+1)/(Teams!$I10-Teams!$H10),0))))</f>
        <v/>
      </c>
      <c r="AB12" s="34">
        <f>IF(OR(AB$6&lt;Teams!$F10,AB$6&gt;Teams!$I10),0,IF(AB$6&lt;Teams!$G10,ROUND(Teams!$E10*(AB$6-Teams!$F10+1)/(Teams!$G10-Teams!$F10+1),0),IF(AB$6&lt;=Teams!$H10,Teams!$E10,ROUND(Teams!$E10*(Teams!$I10-AB$6+1)/(Teams!$I10-Teams!$H10),0))))</f>
        <v/>
      </c>
      <c r="AC12" s="34">
        <f>IF(OR(AC$6&lt;Teams!$F10,AC$6&gt;Teams!$I10),0,IF(AC$6&lt;Teams!$G10,ROUND(Teams!$E10*(AC$6-Teams!$F10+1)/(Teams!$G10-Teams!$F10+1),0),IF(AC$6&lt;=Teams!$H10,Teams!$E10,ROUND(Teams!$E10*(Teams!$I10-AC$6+1)/(Teams!$I10-Teams!$H10),0))))</f>
        <v/>
      </c>
      <c r="AD12" s="34">
        <f>IF(OR(AD$6&lt;Teams!$F10,AD$6&gt;Teams!$I10),0,IF(AD$6&lt;Teams!$G10,ROUND(Teams!$E10*(AD$6-Teams!$F10+1)/(Teams!$G10-Teams!$F10+1),0),IF(AD$6&lt;=Teams!$H10,Teams!$E10,ROUND(Teams!$E10*(Teams!$I10-AD$6+1)/(Teams!$I10-Teams!$H10),0))))</f>
        <v/>
      </c>
      <c r="AE12" s="34">
        <f>IF(OR(AE$6&lt;Teams!$F10,AE$6&gt;Teams!$I10),0,IF(AE$6&lt;Teams!$G10,ROUND(Teams!$E10*(AE$6-Teams!$F10+1)/(Teams!$G10-Teams!$F10+1),0),IF(AE$6&lt;=Teams!$H10,Teams!$E10,ROUND(Teams!$E10*(Teams!$I10-AE$6+1)/(Teams!$I10-Teams!$H10),0))))</f>
        <v/>
      </c>
      <c r="AF12" s="34">
        <f>IF(OR(AF$6&lt;Teams!$F10,AF$6&gt;Teams!$I10),0,IF(AF$6&lt;Teams!$G10,ROUND(Teams!$E10*(AF$6-Teams!$F10+1)/(Teams!$G10-Teams!$F10+1),0),IF(AF$6&lt;=Teams!$H10,Teams!$E10,ROUND(Teams!$E10*(Teams!$I10-AF$6+1)/(Teams!$I10-Teams!$H10),0))))</f>
        <v/>
      </c>
      <c r="AG12" s="34">
        <f>IF(OR(AG$6&lt;Teams!$F10,AG$6&gt;Teams!$I10),0,IF(AG$6&lt;Teams!$G10,ROUND(Teams!$E10*(AG$6-Teams!$F10+1)/(Teams!$G10-Teams!$F10+1),0),IF(AG$6&lt;=Teams!$H10,Teams!$E10,ROUND(Teams!$E10*(Teams!$I10-AG$6+1)/(Teams!$I10-Teams!$H10),0))))</f>
        <v/>
      </c>
      <c r="AH12" s="34">
        <f>IF(OR(AH$6&lt;Teams!$F10,AH$6&gt;Teams!$I10),0,IF(AH$6&lt;Teams!$G10,ROUND(Teams!$E10*(AH$6-Teams!$F10+1)/(Teams!$G10-Teams!$F10+1),0),IF(AH$6&lt;=Teams!$H10,Teams!$E10,ROUND(Teams!$E10*(Teams!$I10-AH$6+1)/(Teams!$I10-Teams!$H10),0))))</f>
        <v/>
      </c>
      <c r="AI12" s="34">
        <f>IF(OR(AI$6&lt;Teams!$F10,AI$6&gt;Teams!$I10),0,IF(AI$6&lt;Teams!$G10,ROUND(Teams!$E10*(AI$6-Teams!$F10+1)/(Teams!$G10-Teams!$F10+1),0),IF(AI$6&lt;=Teams!$H10,Teams!$E10,ROUND(Teams!$E10*(Teams!$I10-AI$6+1)/(Teams!$I10-Teams!$H10),0))))</f>
        <v/>
      </c>
      <c r="AJ12" s="34">
        <f>IF(OR(AJ$6&lt;Teams!$F10,AJ$6&gt;Teams!$I10),0,IF(AJ$6&lt;Teams!$G10,ROUND(Teams!$E10*(AJ$6-Teams!$F10+1)/(Teams!$G10-Teams!$F10+1),0),IF(AJ$6&lt;=Teams!$H10,Teams!$E10,ROUND(Teams!$E10*(Teams!$I10-AJ$6+1)/(Teams!$I10-Teams!$H10),0))))</f>
        <v/>
      </c>
      <c r="AK12" s="34">
        <f>IF(OR(AK$6&lt;Teams!$F10,AK$6&gt;Teams!$I10),0,IF(AK$6&lt;Teams!$G10,ROUND(Teams!$E10*(AK$6-Teams!$F10+1)/(Teams!$G10-Teams!$F10+1),0),IF(AK$6&lt;=Teams!$H10,Teams!$E10,ROUND(Teams!$E10*(Teams!$I10-AK$6+1)/(Teams!$I10-Teams!$H10),0))))</f>
        <v/>
      </c>
      <c r="AL12" s="34">
        <f>IF(OR(AL$6&lt;Teams!$F10,AL$6&gt;Teams!$I10),0,IF(AL$6&lt;Teams!$G10,ROUND(Teams!$E10*(AL$6-Teams!$F10+1)/(Teams!$G10-Teams!$F10+1),0),IF(AL$6&lt;=Teams!$H10,Teams!$E10,ROUND(Teams!$E10*(Teams!$I10-AL$6+1)/(Teams!$I10-Teams!$H10),0))))</f>
        <v/>
      </c>
      <c r="AM12" s="34">
        <f>IF(OR(AM$6&lt;Teams!$F10,AM$6&gt;Teams!$I10),0,IF(AM$6&lt;Teams!$G10,ROUND(Teams!$E10*(AM$6-Teams!$F10+1)/(Teams!$G10-Teams!$F10+1),0),IF(AM$6&lt;=Teams!$H10,Teams!$E10,ROUND(Teams!$E10*(Teams!$I10-AM$6+1)/(Teams!$I10-Teams!$H10),0))))</f>
        <v/>
      </c>
      <c r="AN12" s="34">
        <f>IF(OR(AN$6&lt;Teams!$F10,AN$6&gt;Teams!$I10),0,IF(AN$6&lt;Teams!$G10,ROUND(Teams!$E10*(AN$6-Teams!$F10+1)/(Teams!$G10-Teams!$F10+1),0),IF(AN$6&lt;=Teams!$H10,Teams!$E10,ROUND(Teams!$E10*(Teams!$I10-AN$6+1)/(Teams!$I10-Teams!$H10),0))))</f>
        <v/>
      </c>
    </row>
    <row r="13">
      <c r="A13" s="33">
        <f>Teams!A11</f>
        <v/>
      </c>
      <c r="B13" s="33">
        <f>Teams!C11&amp;" — "&amp;Teams!B11</f>
        <v/>
      </c>
      <c r="C13" s="34">
        <f>IF(OR(C$6&lt;Teams!$F11,C$6&gt;Teams!$I11),0,IF(C$6&lt;Teams!$G11,ROUND(Teams!$E11*(C$6-Teams!$F11+1)/(Teams!$G11-Teams!$F11+1),0),IF(C$6&lt;=Teams!$H11,Teams!$E11,ROUND(Teams!$E11*(Teams!$I11-C$6+1)/(Teams!$I11-Teams!$H11),0))))</f>
        <v/>
      </c>
      <c r="D13" s="34">
        <f>IF(OR(D$6&lt;Teams!$F11,D$6&gt;Teams!$I11),0,IF(D$6&lt;Teams!$G11,ROUND(Teams!$E11*(D$6-Teams!$F11+1)/(Teams!$G11-Teams!$F11+1),0),IF(D$6&lt;=Teams!$H11,Teams!$E11,ROUND(Teams!$E11*(Teams!$I11-D$6+1)/(Teams!$I11-Teams!$H11),0))))</f>
        <v/>
      </c>
      <c r="E13" s="34">
        <f>IF(OR(E$6&lt;Teams!$F11,E$6&gt;Teams!$I11),0,IF(E$6&lt;Teams!$G11,ROUND(Teams!$E11*(E$6-Teams!$F11+1)/(Teams!$G11-Teams!$F11+1),0),IF(E$6&lt;=Teams!$H11,Teams!$E11,ROUND(Teams!$E11*(Teams!$I11-E$6+1)/(Teams!$I11-Teams!$H11),0))))</f>
        <v/>
      </c>
      <c r="F13" s="34">
        <f>IF(OR(F$6&lt;Teams!$F11,F$6&gt;Teams!$I11),0,IF(F$6&lt;Teams!$G11,ROUND(Teams!$E11*(F$6-Teams!$F11+1)/(Teams!$G11-Teams!$F11+1),0),IF(F$6&lt;=Teams!$H11,Teams!$E11,ROUND(Teams!$E11*(Teams!$I11-F$6+1)/(Teams!$I11-Teams!$H11),0))))</f>
        <v/>
      </c>
      <c r="G13" s="34">
        <f>IF(OR(G$6&lt;Teams!$F11,G$6&gt;Teams!$I11),0,IF(G$6&lt;Teams!$G11,ROUND(Teams!$E11*(G$6-Teams!$F11+1)/(Teams!$G11-Teams!$F11+1),0),IF(G$6&lt;=Teams!$H11,Teams!$E11,ROUND(Teams!$E11*(Teams!$I11-G$6+1)/(Teams!$I11-Teams!$H11),0))))</f>
        <v/>
      </c>
      <c r="H13" s="34">
        <f>IF(OR(H$6&lt;Teams!$F11,H$6&gt;Teams!$I11),0,IF(H$6&lt;Teams!$G11,ROUND(Teams!$E11*(H$6-Teams!$F11+1)/(Teams!$G11-Teams!$F11+1),0),IF(H$6&lt;=Teams!$H11,Teams!$E11,ROUND(Teams!$E11*(Teams!$I11-H$6+1)/(Teams!$I11-Teams!$H11),0))))</f>
        <v/>
      </c>
      <c r="I13" s="34">
        <f>IF(OR(I$6&lt;Teams!$F11,I$6&gt;Teams!$I11),0,IF(I$6&lt;Teams!$G11,ROUND(Teams!$E11*(I$6-Teams!$F11+1)/(Teams!$G11-Teams!$F11+1),0),IF(I$6&lt;=Teams!$H11,Teams!$E11,ROUND(Teams!$E11*(Teams!$I11-I$6+1)/(Teams!$I11-Teams!$H11),0))))</f>
        <v/>
      </c>
      <c r="J13" s="34">
        <f>IF(OR(J$6&lt;Teams!$F11,J$6&gt;Teams!$I11),0,IF(J$6&lt;Teams!$G11,ROUND(Teams!$E11*(J$6-Teams!$F11+1)/(Teams!$G11-Teams!$F11+1),0),IF(J$6&lt;=Teams!$H11,Teams!$E11,ROUND(Teams!$E11*(Teams!$I11-J$6+1)/(Teams!$I11-Teams!$H11),0))))</f>
        <v/>
      </c>
      <c r="K13" s="34">
        <f>IF(OR(K$6&lt;Teams!$F11,K$6&gt;Teams!$I11),0,IF(K$6&lt;Teams!$G11,ROUND(Teams!$E11*(K$6-Teams!$F11+1)/(Teams!$G11-Teams!$F11+1),0),IF(K$6&lt;=Teams!$H11,Teams!$E11,ROUND(Teams!$E11*(Teams!$I11-K$6+1)/(Teams!$I11-Teams!$H11),0))))</f>
        <v/>
      </c>
      <c r="L13" s="34">
        <f>IF(OR(L$6&lt;Teams!$F11,L$6&gt;Teams!$I11),0,IF(L$6&lt;Teams!$G11,ROUND(Teams!$E11*(L$6-Teams!$F11+1)/(Teams!$G11-Teams!$F11+1),0),IF(L$6&lt;=Teams!$H11,Teams!$E11,ROUND(Teams!$E11*(Teams!$I11-L$6+1)/(Teams!$I11-Teams!$H11),0))))</f>
        <v/>
      </c>
      <c r="M13" s="34">
        <f>IF(OR(M$6&lt;Teams!$F11,M$6&gt;Teams!$I11),0,IF(M$6&lt;Teams!$G11,ROUND(Teams!$E11*(M$6-Teams!$F11+1)/(Teams!$G11-Teams!$F11+1),0),IF(M$6&lt;=Teams!$H11,Teams!$E11,ROUND(Teams!$E11*(Teams!$I11-M$6+1)/(Teams!$I11-Teams!$H11),0))))</f>
        <v/>
      </c>
      <c r="N13" s="34">
        <f>IF(OR(N$6&lt;Teams!$F11,N$6&gt;Teams!$I11),0,IF(N$6&lt;Teams!$G11,ROUND(Teams!$E11*(N$6-Teams!$F11+1)/(Teams!$G11-Teams!$F11+1),0),IF(N$6&lt;=Teams!$H11,Teams!$E11,ROUND(Teams!$E11*(Teams!$I11-N$6+1)/(Teams!$I11-Teams!$H11),0))))</f>
        <v/>
      </c>
      <c r="O13" s="34">
        <f>IF(OR(O$6&lt;Teams!$F11,O$6&gt;Teams!$I11),0,IF(O$6&lt;Teams!$G11,ROUND(Teams!$E11*(O$6-Teams!$F11+1)/(Teams!$G11-Teams!$F11+1),0),IF(O$6&lt;=Teams!$H11,Teams!$E11,ROUND(Teams!$E11*(Teams!$I11-O$6+1)/(Teams!$I11-Teams!$H11),0))))</f>
        <v/>
      </c>
      <c r="P13" s="34">
        <f>IF(OR(P$6&lt;Teams!$F11,P$6&gt;Teams!$I11),0,IF(P$6&lt;Teams!$G11,ROUND(Teams!$E11*(P$6-Teams!$F11+1)/(Teams!$G11-Teams!$F11+1),0),IF(P$6&lt;=Teams!$H11,Teams!$E11,ROUND(Teams!$E11*(Teams!$I11-P$6+1)/(Teams!$I11-Teams!$H11),0))))</f>
        <v/>
      </c>
      <c r="Q13" s="34">
        <f>IF(OR(Q$6&lt;Teams!$F11,Q$6&gt;Teams!$I11),0,IF(Q$6&lt;Teams!$G11,ROUND(Teams!$E11*(Q$6-Teams!$F11+1)/(Teams!$G11-Teams!$F11+1),0),IF(Q$6&lt;=Teams!$H11,Teams!$E11,ROUND(Teams!$E11*(Teams!$I11-Q$6+1)/(Teams!$I11-Teams!$H11),0))))</f>
        <v/>
      </c>
      <c r="R13" s="34">
        <f>IF(OR(R$6&lt;Teams!$F11,R$6&gt;Teams!$I11),0,IF(R$6&lt;Teams!$G11,ROUND(Teams!$E11*(R$6-Teams!$F11+1)/(Teams!$G11-Teams!$F11+1),0),IF(R$6&lt;=Teams!$H11,Teams!$E11,ROUND(Teams!$E11*(Teams!$I11-R$6+1)/(Teams!$I11-Teams!$H11),0))))</f>
        <v/>
      </c>
      <c r="S13" s="34">
        <f>IF(OR(S$6&lt;Teams!$F11,S$6&gt;Teams!$I11),0,IF(S$6&lt;Teams!$G11,ROUND(Teams!$E11*(S$6-Teams!$F11+1)/(Teams!$G11-Teams!$F11+1),0),IF(S$6&lt;=Teams!$H11,Teams!$E11,ROUND(Teams!$E11*(Teams!$I11-S$6+1)/(Teams!$I11-Teams!$H11),0))))</f>
        <v/>
      </c>
      <c r="T13" s="34">
        <f>IF(OR(T$6&lt;Teams!$F11,T$6&gt;Teams!$I11),0,IF(T$6&lt;Teams!$G11,ROUND(Teams!$E11*(T$6-Teams!$F11+1)/(Teams!$G11-Teams!$F11+1),0),IF(T$6&lt;=Teams!$H11,Teams!$E11,ROUND(Teams!$E11*(Teams!$I11-T$6+1)/(Teams!$I11-Teams!$H11),0))))</f>
        <v/>
      </c>
      <c r="U13" s="34">
        <f>IF(OR(U$6&lt;Teams!$F11,U$6&gt;Teams!$I11),0,IF(U$6&lt;Teams!$G11,ROUND(Teams!$E11*(U$6-Teams!$F11+1)/(Teams!$G11-Teams!$F11+1),0),IF(U$6&lt;=Teams!$H11,Teams!$E11,ROUND(Teams!$E11*(Teams!$I11-U$6+1)/(Teams!$I11-Teams!$H11),0))))</f>
        <v/>
      </c>
      <c r="V13" s="34">
        <f>IF(OR(V$6&lt;Teams!$F11,V$6&gt;Teams!$I11),0,IF(V$6&lt;Teams!$G11,ROUND(Teams!$E11*(V$6-Teams!$F11+1)/(Teams!$G11-Teams!$F11+1),0),IF(V$6&lt;=Teams!$H11,Teams!$E11,ROUND(Teams!$E11*(Teams!$I11-V$6+1)/(Teams!$I11-Teams!$H11),0))))</f>
        <v/>
      </c>
      <c r="W13" s="34">
        <f>IF(OR(W$6&lt;Teams!$F11,W$6&gt;Teams!$I11),0,IF(W$6&lt;Teams!$G11,ROUND(Teams!$E11*(W$6-Teams!$F11+1)/(Teams!$G11-Teams!$F11+1),0),IF(W$6&lt;=Teams!$H11,Teams!$E11,ROUND(Teams!$E11*(Teams!$I11-W$6+1)/(Teams!$I11-Teams!$H11),0))))</f>
        <v/>
      </c>
      <c r="X13" s="34">
        <f>IF(OR(X$6&lt;Teams!$F11,X$6&gt;Teams!$I11),0,IF(X$6&lt;Teams!$G11,ROUND(Teams!$E11*(X$6-Teams!$F11+1)/(Teams!$G11-Teams!$F11+1),0),IF(X$6&lt;=Teams!$H11,Teams!$E11,ROUND(Teams!$E11*(Teams!$I11-X$6+1)/(Teams!$I11-Teams!$H11),0))))</f>
        <v/>
      </c>
      <c r="Y13" s="34">
        <f>IF(OR(Y$6&lt;Teams!$F11,Y$6&gt;Teams!$I11),0,IF(Y$6&lt;Teams!$G11,ROUND(Teams!$E11*(Y$6-Teams!$F11+1)/(Teams!$G11-Teams!$F11+1),0),IF(Y$6&lt;=Teams!$H11,Teams!$E11,ROUND(Teams!$E11*(Teams!$I11-Y$6+1)/(Teams!$I11-Teams!$H11),0))))</f>
        <v/>
      </c>
      <c r="Z13" s="34">
        <f>IF(OR(Z$6&lt;Teams!$F11,Z$6&gt;Teams!$I11),0,IF(Z$6&lt;Teams!$G11,ROUND(Teams!$E11*(Z$6-Teams!$F11+1)/(Teams!$G11-Teams!$F11+1),0),IF(Z$6&lt;=Teams!$H11,Teams!$E11,ROUND(Teams!$E11*(Teams!$I11-Z$6+1)/(Teams!$I11-Teams!$H11),0))))</f>
        <v/>
      </c>
      <c r="AA13" s="34">
        <f>IF(OR(AA$6&lt;Teams!$F11,AA$6&gt;Teams!$I11),0,IF(AA$6&lt;Teams!$G11,ROUND(Teams!$E11*(AA$6-Teams!$F11+1)/(Teams!$G11-Teams!$F11+1),0),IF(AA$6&lt;=Teams!$H11,Teams!$E11,ROUND(Teams!$E11*(Teams!$I11-AA$6+1)/(Teams!$I11-Teams!$H11),0))))</f>
        <v/>
      </c>
      <c r="AB13" s="34">
        <f>IF(OR(AB$6&lt;Teams!$F11,AB$6&gt;Teams!$I11),0,IF(AB$6&lt;Teams!$G11,ROUND(Teams!$E11*(AB$6-Teams!$F11+1)/(Teams!$G11-Teams!$F11+1),0),IF(AB$6&lt;=Teams!$H11,Teams!$E11,ROUND(Teams!$E11*(Teams!$I11-AB$6+1)/(Teams!$I11-Teams!$H11),0))))</f>
        <v/>
      </c>
      <c r="AC13" s="34">
        <f>IF(OR(AC$6&lt;Teams!$F11,AC$6&gt;Teams!$I11),0,IF(AC$6&lt;Teams!$G11,ROUND(Teams!$E11*(AC$6-Teams!$F11+1)/(Teams!$G11-Teams!$F11+1),0),IF(AC$6&lt;=Teams!$H11,Teams!$E11,ROUND(Teams!$E11*(Teams!$I11-AC$6+1)/(Teams!$I11-Teams!$H11),0))))</f>
        <v/>
      </c>
      <c r="AD13" s="34">
        <f>IF(OR(AD$6&lt;Teams!$F11,AD$6&gt;Teams!$I11),0,IF(AD$6&lt;Teams!$G11,ROUND(Teams!$E11*(AD$6-Teams!$F11+1)/(Teams!$G11-Teams!$F11+1),0),IF(AD$6&lt;=Teams!$H11,Teams!$E11,ROUND(Teams!$E11*(Teams!$I11-AD$6+1)/(Teams!$I11-Teams!$H11),0))))</f>
        <v/>
      </c>
      <c r="AE13" s="34">
        <f>IF(OR(AE$6&lt;Teams!$F11,AE$6&gt;Teams!$I11),0,IF(AE$6&lt;Teams!$G11,ROUND(Teams!$E11*(AE$6-Teams!$F11+1)/(Teams!$G11-Teams!$F11+1),0),IF(AE$6&lt;=Teams!$H11,Teams!$E11,ROUND(Teams!$E11*(Teams!$I11-AE$6+1)/(Teams!$I11-Teams!$H11),0))))</f>
        <v/>
      </c>
      <c r="AF13" s="34">
        <f>IF(OR(AF$6&lt;Teams!$F11,AF$6&gt;Teams!$I11),0,IF(AF$6&lt;Teams!$G11,ROUND(Teams!$E11*(AF$6-Teams!$F11+1)/(Teams!$G11-Teams!$F11+1),0),IF(AF$6&lt;=Teams!$H11,Teams!$E11,ROUND(Teams!$E11*(Teams!$I11-AF$6+1)/(Teams!$I11-Teams!$H11),0))))</f>
        <v/>
      </c>
      <c r="AG13" s="34">
        <f>IF(OR(AG$6&lt;Teams!$F11,AG$6&gt;Teams!$I11),0,IF(AG$6&lt;Teams!$G11,ROUND(Teams!$E11*(AG$6-Teams!$F11+1)/(Teams!$G11-Teams!$F11+1),0),IF(AG$6&lt;=Teams!$H11,Teams!$E11,ROUND(Teams!$E11*(Teams!$I11-AG$6+1)/(Teams!$I11-Teams!$H11),0))))</f>
        <v/>
      </c>
      <c r="AH13" s="34">
        <f>IF(OR(AH$6&lt;Teams!$F11,AH$6&gt;Teams!$I11),0,IF(AH$6&lt;Teams!$G11,ROUND(Teams!$E11*(AH$6-Teams!$F11+1)/(Teams!$G11-Teams!$F11+1),0),IF(AH$6&lt;=Teams!$H11,Teams!$E11,ROUND(Teams!$E11*(Teams!$I11-AH$6+1)/(Teams!$I11-Teams!$H11),0))))</f>
        <v/>
      </c>
      <c r="AI13" s="34">
        <f>IF(OR(AI$6&lt;Teams!$F11,AI$6&gt;Teams!$I11),0,IF(AI$6&lt;Teams!$G11,ROUND(Teams!$E11*(AI$6-Teams!$F11+1)/(Teams!$G11-Teams!$F11+1),0),IF(AI$6&lt;=Teams!$H11,Teams!$E11,ROUND(Teams!$E11*(Teams!$I11-AI$6+1)/(Teams!$I11-Teams!$H11),0))))</f>
        <v/>
      </c>
      <c r="AJ13" s="34">
        <f>IF(OR(AJ$6&lt;Teams!$F11,AJ$6&gt;Teams!$I11),0,IF(AJ$6&lt;Teams!$G11,ROUND(Teams!$E11*(AJ$6-Teams!$F11+1)/(Teams!$G11-Teams!$F11+1),0),IF(AJ$6&lt;=Teams!$H11,Teams!$E11,ROUND(Teams!$E11*(Teams!$I11-AJ$6+1)/(Teams!$I11-Teams!$H11),0))))</f>
        <v/>
      </c>
      <c r="AK13" s="34">
        <f>IF(OR(AK$6&lt;Teams!$F11,AK$6&gt;Teams!$I11),0,IF(AK$6&lt;Teams!$G11,ROUND(Teams!$E11*(AK$6-Teams!$F11+1)/(Teams!$G11-Teams!$F11+1),0),IF(AK$6&lt;=Teams!$H11,Teams!$E11,ROUND(Teams!$E11*(Teams!$I11-AK$6+1)/(Teams!$I11-Teams!$H11),0))))</f>
        <v/>
      </c>
      <c r="AL13" s="34">
        <f>IF(OR(AL$6&lt;Teams!$F11,AL$6&gt;Teams!$I11),0,IF(AL$6&lt;Teams!$G11,ROUND(Teams!$E11*(AL$6-Teams!$F11+1)/(Teams!$G11-Teams!$F11+1),0),IF(AL$6&lt;=Teams!$H11,Teams!$E11,ROUND(Teams!$E11*(Teams!$I11-AL$6+1)/(Teams!$I11-Teams!$H11),0))))</f>
        <v/>
      </c>
      <c r="AM13" s="34">
        <f>IF(OR(AM$6&lt;Teams!$F11,AM$6&gt;Teams!$I11),0,IF(AM$6&lt;Teams!$G11,ROUND(Teams!$E11*(AM$6-Teams!$F11+1)/(Teams!$G11-Teams!$F11+1),0),IF(AM$6&lt;=Teams!$H11,Teams!$E11,ROUND(Teams!$E11*(Teams!$I11-AM$6+1)/(Teams!$I11-Teams!$H11),0))))</f>
        <v/>
      </c>
      <c r="AN13" s="34">
        <f>IF(OR(AN$6&lt;Teams!$F11,AN$6&gt;Teams!$I11),0,IF(AN$6&lt;Teams!$G11,ROUND(Teams!$E11*(AN$6-Teams!$F11+1)/(Teams!$G11-Teams!$F11+1),0),IF(AN$6&lt;=Teams!$H11,Teams!$E11,ROUND(Teams!$E11*(Teams!$I11-AN$6+1)/(Teams!$I11-Teams!$H11),0))))</f>
        <v/>
      </c>
    </row>
    <row r="14">
      <c r="A14" s="33">
        <f>Teams!A12</f>
        <v/>
      </c>
      <c r="B14" s="33">
        <f>Teams!C12&amp;" — "&amp;Teams!B12</f>
        <v/>
      </c>
      <c r="C14" s="34">
        <f>IF(OR(C$6&lt;Teams!$F12,C$6&gt;Teams!$I12),0,IF(C$6&lt;Teams!$G12,ROUND(Teams!$E12*(C$6-Teams!$F12+1)/(Teams!$G12-Teams!$F12+1),0),IF(C$6&lt;=Teams!$H12,Teams!$E12,ROUND(Teams!$E12*(Teams!$I12-C$6+1)/(Teams!$I12-Teams!$H12),0))))</f>
        <v/>
      </c>
      <c r="D14" s="34">
        <f>IF(OR(D$6&lt;Teams!$F12,D$6&gt;Teams!$I12),0,IF(D$6&lt;Teams!$G12,ROUND(Teams!$E12*(D$6-Teams!$F12+1)/(Teams!$G12-Teams!$F12+1),0),IF(D$6&lt;=Teams!$H12,Teams!$E12,ROUND(Teams!$E12*(Teams!$I12-D$6+1)/(Teams!$I12-Teams!$H12),0))))</f>
        <v/>
      </c>
      <c r="E14" s="34">
        <f>IF(OR(E$6&lt;Teams!$F12,E$6&gt;Teams!$I12),0,IF(E$6&lt;Teams!$G12,ROUND(Teams!$E12*(E$6-Teams!$F12+1)/(Teams!$G12-Teams!$F12+1),0),IF(E$6&lt;=Teams!$H12,Teams!$E12,ROUND(Teams!$E12*(Teams!$I12-E$6+1)/(Teams!$I12-Teams!$H12),0))))</f>
        <v/>
      </c>
      <c r="F14" s="34">
        <f>IF(OR(F$6&lt;Teams!$F12,F$6&gt;Teams!$I12),0,IF(F$6&lt;Teams!$G12,ROUND(Teams!$E12*(F$6-Teams!$F12+1)/(Teams!$G12-Teams!$F12+1),0),IF(F$6&lt;=Teams!$H12,Teams!$E12,ROUND(Teams!$E12*(Teams!$I12-F$6+1)/(Teams!$I12-Teams!$H12),0))))</f>
        <v/>
      </c>
      <c r="G14" s="34">
        <f>IF(OR(G$6&lt;Teams!$F12,G$6&gt;Teams!$I12),0,IF(G$6&lt;Teams!$G12,ROUND(Teams!$E12*(G$6-Teams!$F12+1)/(Teams!$G12-Teams!$F12+1),0),IF(G$6&lt;=Teams!$H12,Teams!$E12,ROUND(Teams!$E12*(Teams!$I12-G$6+1)/(Teams!$I12-Teams!$H12),0))))</f>
        <v/>
      </c>
      <c r="H14" s="34">
        <f>IF(OR(H$6&lt;Teams!$F12,H$6&gt;Teams!$I12),0,IF(H$6&lt;Teams!$G12,ROUND(Teams!$E12*(H$6-Teams!$F12+1)/(Teams!$G12-Teams!$F12+1),0),IF(H$6&lt;=Teams!$H12,Teams!$E12,ROUND(Teams!$E12*(Teams!$I12-H$6+1)/(Teams!$I12-Teams!$H12),0))))</f>
        <v/>
      </c>
      <c r="I14" s="34">
        <f>IF(OR(I$6&lt;Teams!$F12,I$6&gt;Teams!$I12),0,IF(I$6&lt;Teams!$G12,ROUND(Teams!$E12*(I$6-Teams!$F12+1)/(Teams!$G12-Teams!$F12+1),0),IF(I$6&lt;=Teams!$H12,Teams!$E12,ROUND(Teams!$E12*(Teams!$I12-I$6+1)/(Teams!$I12-Teams!$H12),0))))</f>
        <v/>
      </c>
      <c r="J14" s="34">
        <f>IF(OR(J$6&lt;Teams!$F12,J$6&gt;Teams!$I12),0,IF(J$6&lt;Teams!$G12,ROUND(Teams!$E12*(J$6-Teams!$F12+1)/(Teams!$G12-Teams!$F12+1),0),IF(J$6&lt;=Teams!$H12,Teams!$E12,ROUND(Teams!$E12*(Teams!$I12-J$6+1)/(Teams!$I12-Teams!$H12),0))))</f>
        <v/>
      </c>
      <c r="K14" s="34">
        <f>IF(OR(K$6&lt;Teams!$F12,K$6&gt;Teams!$I12),0,IF(K$6&lt;Teams!$G12,ROUND(Teams!$E12*(K$6-Teams!$F12+1)/(Teams!$G12-Teams!$F12+1),0),IF(K$6&lt;=Teams!$H12,Teams!$E12,ROUND(Teams!$E12*(Teams!$I12-K$6+1)/(Teams!$I12-Teams!$H12),0))))</f>
        <v/>
      </c>
      <c r="L14" s="34">
        <f>IF(OR(L$6&lt;Teams!$F12,L$6&gt;Teams!$I12),0,IF(L$6&lt;Teams!$G12,ROUND(Teams!$E12*(L$6-Teams!$F12+1)/(Teams!$G12-Teams!$F12+1),0),IF(L$6&lt;=Teams!$H12,Teams!$E12,ROUND(Teams!$E12*(Teams!$I12-L$6+1)/(Teams!$I12-Teams!$H12),0))))</f>
        <v/>
      </c>
      <c r="M14" s="34">
        <f>IF(OR(M$6&lt;Teams!$F12,M$6&gt;Teams!$I12),0,IF(M$6&lt;Teams!$G12,ROUND(Teams!$E12*(M$6-Teams!$F12+1)/(Teams!$G12-Teams!$F12+1),0),IF(M$6&lt;=Teams!$H12,Teams!$E12,ROUND(Teams!$E12*(Teams!$I12-M$6+1)/(Teams!$I12-Teams!$H12),0))))</f>
        <v/>
      </c>
      <c r="N14" s="34">
        <f>IF(OR(N$6&lt;Teams!$F12,N$6&gt;Teams!$I12),0,IF(N$6&lt;Teams!$G12,ROUND(Teams!$E12*(N$6-Teams!$F12+1)/(Teams!$G12-Teams!$F12+1),0),IF(N$6&lt;=Teams!$H12,Teams!$E12,ROUND(Teams!$E12*(Teams!$I12-N$6+1)/(Teams!$I12-Teams!$H12),0))))</f>
        <v/>
      </c>
      <c r="O14" s="34">
        <f>IF(OR(O$6&lt;Teams!$F12,O$6&gt;Teams!$I12),0,IF(O$6&lt;Teams!$G12,ROUND(Teams!$E12*(O$6-Teams!$F12+1)/(Teams!$G12-Teams!$F12+1),0),IF(O$6&lt;=Teams!$H12,Teams!$E12,ROUND(Teams!$E12*(Teams!$I12-O$6+1)/(Teams!$I12-Teams!$H12),0))))</f>
        <v/>
      </c>
      <c r="P14" s="34">
        <f>IF(OR(P$6&lt;Teams!$F12,P$6&gt;Teams!$I12),0,IF(P$6&lt;Teams!$G12,ROUND(Teams!$E12*(P$6-Teams!$F12+1)/(Teams!$G12-Teams!$F12+1),0),IF(P$6&lt;=Teams!$H12,Teams!$E12,ROUND(Teams!$E12*(Teams!$I12-P$6+1)/(Teams!$I12-Teams!$H12),0))))</f>
        <v/>
      </c>
      <c r="Q14" s="34">
        <f>IF(OR(Q$6&lt;Teams!$F12,Q$6&gt;Teams!$I12),0,IF(Q$6&lt;Teams!$G12,ROUND(Teams!$E12*(Q$6-Teams!$F12+1)/(Teams!$G12-Teams!$F12+1),0),IF(Q$6&lt;=Teams!$H12,Teams!$E12,ROUND(Teams!$E12*(Teams!$I12-Q$6+1)/(Teams!$I12-Teams!$H12),0))))</f>
        <v/>
      </c>
      <c r="R14" s="34">
        <f>IF(OR(R$6&lt;Teams!$F12,R$6&gt;Teams!$I12),0,IF(R$6&lt;Teams!$G12,ROUND(Teams!$E12*(R$6-Teams!$F12+1)/(Teams!$G12-Teams!$F12+1),0),IF(R$6&lt;=Teams!$H12,Teams!$E12,ROUND(Teams!$E12*(Teams!$I12-R$6+1)/(Teams!$I12-Teams!$H12),0))))</f>
        <v/>
      </c>
      <c r="S14" s="34">
        <f>IF(OR(S$6&lt;Teams!$F12,S$6&gt;Teams!$I12),0,IF(S$6&lt;Teams!$G12,ROUND(Teams!$E12*(S$6-Teams!$F12+1)/(Teams!$G12-Teams!$F12+1),0),IF(S$6&lt;=Teams!$H12,Teams!$E12,ROUND(Teams!$E12*(Teams!$I12-S$6+1)/(Teams!$I12-Teams!$H12),0))))</f>
        <v/>
      </c>
      <c r="T14" s="34">
        <f>IF(OR(T$6&lt;Teams!$F12,T$6&gt;Teams!$I12),0,IF(T$6&lt;Teams!$G12,ROUND(Teams!$E12*(T$6-Teams!$F12+1)/(Teams!$G12-Teams!$F12+1),0),IF(T$6&lt;=Teams!$H12,Teams!$E12,ROUND(Teams!$E12*(Teams!$I12-T$6+1)/(Teams!$I12-Teams!$H12),0))))</f>
        <v/>
      </c>
      <c r="U14" s="34">
        <f>IF(OR(U$6&lt;Teams!$F12,U$6&gt;Teams!$I12),0,IF(U$6&lt;Teams!$G12,ROUND(Teams!$E12*(U$6-Teams!$F12+1)/(Teams!$G12-Teams!$F12+1),0),IF(U$6&lt;=Teams!$H12,Teams!$E12,ROUND(Teams!$E12*(Teams!$I12-U$6+1)/(Teams!$I12-Teams!$H12),0))))</f>
        <v/>
      </c>
      <c r="V14" s="34">
        <f>IF(OR(V$6&lt;Teams!$F12,V$6&gt;Teams!$I12),0,IF(V$6&lt;Teams!$G12,ROUND(Teams!$E12*(V$6-Teams!$F12+1)/(Teams!$G12-Teams!$F12+1),0),IF(V$6&lt;=Teams!$H12,Teams!$E12,ROUND(Teams!$E12*(Teams!$I12-V$6+1)/(Teams!$I12-Teams!$H12),0))))</f>
        <v/>
      </c>
      <c r="W14" s="34">
        <f>IF(OR(W$6&lt;Teams!$F12,W$6&gt;Teams!$I12),0,IF(W$6&lt;Teams!$G12,ROUND(Teams!$E12*(W$6-Teams!$F12+1)/(Teams!$G12-Teams!$F12+1),0),IF(W$6&lt;=Teams!$H12,Teams!$E12,ROUND(Teams!$E12*(Teams!$I12-W$6+1)/(Teams!$I12-Teams!$H12),0))))</f>
        <v/>
      </c>
      <c r="X14" s="34">
        <f>IF(OR(X$6&lt;Teams!$F12,X$6&gt;Teams!$I12),0,IF(X$6&lt;Teams!$G12,ROUND(Teams!$E12*(X$6-Teams!$F12+1)/(Teams!$G12-Teams!$F12+1),0),IF(X$6&lt;=Teams!$H12,Teams!$E12,ROUND(Teams!$E12*(Teams!$I12-X$6+1)/(Teams!$I12-Teams!$H12),0))))</f>
        <v/>
      </c>
      <c r="Y14" s="34">
        <f>IF(OR(Y$6&lt;Teams!$F12,Y$6&gt;Teams!$I12),0,IF(Y$6&lt;Teams!$G12,ROUND(Teams!$E12*(Y$6-Teams!$F12+1)/(Teams!$G12-Teams!$F12+1),0),IF(Y$6&lt;=Teams!$H12,Teams!$E12,ROUND(Teams!$E12*(Teams!$I12-Y$6+1)/(Teams!$I12-Teams!$H12),0))))</f>
        <v/>
      </c>
      <c r="Z14" s="34">
        <f>IF(OR(Z$6&lt;Teams!$F12,Z$6&gt;Teams!$I12),0,IF(Z$6&lt;Teams!$G12,ROUND(Teams!$E12*(Z$6-Teams!$F12+1)/(Teams!$G12-Teams!$F12+1),0),IF(Z$6&lt;=Teams!$H12,Teams!$E12,ROUND(Teams!$E12*(Teams!$I12-Z$6+1)/(Teams!$I12-Teams!$H12),0))))</f>
        <v/>
      </c>
      <c r="AA14" s="34">
        <f>IF(OR(AA$6&lt;Teams!$F12,AA$6&gt;Teams!$I12),0,IF(AA$6&lt;Teams!$G12,ROUND(Teams!$E12*(AA$6-Teams!$F12+1)/(Teams!$G12-Teams!$F12+1),0),IF(AA$6&lt;=Teams!$H12,Teams!$E12,ROUND(Teams!$E12*(Teams!$I12-AA$6+1)/(Teams!$I12-Teams!$H12),0))))</f>
        <v/>
      </c>
      <c r="AB14" s="34">
        <f>IF(OR(AB$6&lt;Teams!$F12,AB$6&gt;Teams!$I12),0,IF(AB$6&lt;Teams!$G12,ROUND(Teams!$E12*(AB$6-Teams!$F12+1)/(Teams!$G12-Teams!$F12+1),0),IF(AB$6&lt;=Teams!$H12,Teams!$E12,ROUND(Teams!$E12*(Teams!$I12-AB$6+1)/(Teams!$I12-Teams!$H12),0))))</f>
        <v/>
      </c>
      <c r="AC14" s="34">
        <f>IF(OR(AC$6&lt;Teams!$F12,AC$6&gt;Teams!$I12),0,IF(AC$6&lt;Teams!$G12,ROUND(Teams!$E12*(AC$6-Teams!$F12+1)/(Teams!$G12-Teams!$F12+1),0),IF(AC$6&lt;=Teams!$H12,Teams!$E12,ROUND(Teams!$E12*(Teams!$I12-AC$6+1)/(Teams!$I12-Teams!$H12),0))))</f>
        <v/>
      </c>
      <c r="AD14" s="34">
        <f>IF(OR(AD$6&lt;Teams!$F12,AD$6&gt;Teams!$I12),0,IF(AD$6&lt;Teams!$G12,ROUND(Teams!$E12*(AD$6-Teams!$F12+1)/(Teams!$G12-Teams!$F12+1),0),IF(AD$6&lt;=Teams!$H12,Teams!$E12,ROUND(Teams!$E12*(Teams!$I12-AD$6+1)/(Teams!$I12-Teams!$H12),0))))</f>
        <v/>
      </c>
      <c r="AE14" s="34">
        <f>IF(OR(AE$6&lt;Teams!$F12,AE$6&gt;Teams!$I12),0,IF(AE$6&lt;Teams!$G12,ROUND(Teams!$E12*(AE$6-Teams!$F12+1)/(Teams!$G12-Teams!$F12+1),0),IF(AE$6&lt;=Teams!$H12,Teams!$E12,ROUND(Teams!$E12*(Teams!$I12-AE$6+1)/(Teams!$I12-Teams!$H12),0))))</f>
        <v/>
      </c>
      <c r="AF14" s="34">
        <f>IF(OR(AF$6&lt;Teams!$F12,AF$6&gt;Teams!$I12),0,IF(AF$6&lt;Teams!$G12,ROUND(Teams!$E12*(AF$6-Teams!$F12+1)/(Teams!$G12-Teams!$F12+1),0),IF(AF$6&lt;=Teams!$H12,Teams!$E12,ROUND(Teams!$E12*(Teams!$I12-AF$6+1)/(Teams!$I12-Teams!$H12),0))))</f>
        <v/>
      </c>
      <c r="AG14" s="34">
        <f>IF(OR(AG$6&lt;Teams!$F12,AG$6&gt;Teams!$I12),0,IF(AG$6&lt;Teams!$G12,ROUND(Teams!$E12*(AG$6-Teams!$F12+1)/(Teams!$G12-Teams!$F12+1),0),IF(AG$6&lt;=Teams!$H12,Teams!$E12,ROUND(Teams!$E12*(Teams!$I12-AG$6+1)/(Teams!$I12-Teams!$H12),0))))</f>
        <v/>
      </c>
      <c r="AH14" s="34">
        <f>IF(OR(AH$6&lt;Teams!$F12,AH$6&gt;Teams!$I12),0,IF(AH$6&lt;Teams!$G12,ROUND(Teams!$E12*(AH$6-Teams!$F12+1)/(Teams!$G12-Teams!$F12+1),0),IF(AH$6&lt;=Teams!$H12,Teams!$E12,ROUND(Teams!$E12*(Teams!$I12-AH$6+1)/(Teams!$I12-Teams!$H12),0))))</f>
        <v/>
      </c>
      <c r="AI14" s="34">
        <f>IF(OR(AI$6&lt;Teams!$F12,AI$6&gt;Teams!$I12),0,IF(AI$6&lt;Teams!$G12,ROUND(Teams!$E12*(AI$6-Teams!$F12+1)/(Teams!$G12-Teams!$F12+1),0),IF(AI$6&lt;=Teams!$H12,Teams!$E12,ROUND(Teams!$E12*(Teams!$I12-AI$6+1)/(Teams!$I12-Teams!$H12),0))))</f>
        <v/>
      </c>
      <c r="AJ14" s="34">
        <f>IF(OR(AJ$6&lt;Teams!$F12,AJ$6&gt;Teams!$I12),0,IF(AJ$6&lt;Teams!$G12,ROUND(Teams!$E12*(AJ$6-Teams!$F12+1)/(Teams!$G12-Teams!$F12+1),0),IF(AJ$6&lt;=Teams!$H12,Teams!$E12,ROUND(Teams!$E12*(Teams!$I12-AJ$6+1)/(Teams!$I12-Teams!$H12),0))))</f>
        <v/>
      </c>
      <c r="AK14" s="34">
        <f>IF(OR(AK$6&lt;Teams!$F12,AK$6&gt;Teams!$I12),0,IF(AK$6&lt;Teams!$G12,ROUND(Teams!$E12*(AK$6-Teams!$F12+1)/(Teams!$G12-Teams!$F12+1),0),IF(AK$6&lt;=Teams!$H12,Teams!$E12,ROUND(Teams!$E12*(Teams!$I12-AK$6+1)/(Teams!$I12-Teams!$H12),0))))</f>
        <v/>
      </c>
      <c r="AL14" s="34">
        <f>IF(OR(AL$6&lt;Teams!$F12,AL$6&gt;Teams!$I12),0,IF(AL$6&lt;Teams!$G12,ROUND(Teams!$E12*(AL$6-Teams!$F12+1)/(Teams!$G12-Teams!$F12+1),0),IF(AL$6&lt;=Teams!$H12,Teams!$E12,ROUND(Teams!$E12*(Teams!$I12-AL$6+1)/(Teams!$I12-Teams!$H12),0))))</f>
        <v/>
      </c>
      <c r="AM14" s="34">
        <f>IF(OR(AM$6&lt;Teams!$F12,AM$6&gt;Teams!$I12),0,IF(AM$6&lt;Teams!$G12,ROUND(Teams!$E12*(AM$6-Teams!$F12+1)/(Teams!$G12-Teams!$F12+1),0),IF(AM$6&lt;=Teams!$H12,Teams!$E12,ROUND(Teams!$E12*(Teams!$I12-AM$6+1)/(Teams!$I12-Teams!$H12),0))))</f>
        <v/>
      </c>
      <c r="AN14" s="34">
        <f>IF(OR(AN$6&lt;Teams!$F12,AN$6&gt;Teams!$I12),0,IF(AN$6&lt;Teams!$G12,ROUND(Teams!$E12*(AN$6-Teams!$F12+1)/(Teams!$G12-Teams!$F12+1),0),IF(AN$6&lt;=Teams!$H12,Teams!$E12,ROUND(Teams!$E12*(Teams!$I12-AN$6+1)/(Teams!$I12-Teams!$H12),0))))</f>
        <v/>
      </c>
    </row>
    <row r="15">
      <c r="A15" s="33">
        <f>Teams!A13</f>
        <v/>
      </c>
      <c r="B15" s="33">
        <f>Teams!C13&amp;" — "&amp;Teams!B13</f>
        <v/>
      </c>
      <c r="C15" s="34">
        <f>IF(OR(C$6&lt;Teams!$F13,C$6&gt;Teams!$I13),0,IF(C$6&lt;Teams!$G13,ROUND(Teams!$E13*(C$6-Teams!$F13+1)/(Teams!$G13-Teams!$F13+1),0),IF(C$6&lt;=Teams!$H13,Teams!$E13,ROUND(Teams!$E13*(Teams!$I13-C$6+1)/(Teams!$I13-Teams!$H13),0))))</f>
        <v/>
      </c>
      <c r="D15" s="34">
        <f>IF(OR(D$6&lt;Teams!$F13,D$6&gt;Teams!$I13),0,IF(D$6&lt;Teams!$G13,ROUND(Teams!$E13*(D$6-Teams!$F13+1)/(Teams!$G13-Teams!$F13+1),0),IF(D$6&lt;=Teams!$H13,Teams!$E13,ROUND(Teams!$E13*(Teams!$I13-D$6+1)/(Teams!$I13-Teams!$H13),0))))</f>
        <v/>
      </c>
      <c r="E15" s="34">
        <f>IF(OR(E$6&lt;Teams!$F13,E$6&gt;Teams!$I13),0,IF(E$6&lt;Teams!$G13,ROUND(Teams!$E13*(E$6-Teams!$F13+1)/(Teams!$G13-Teams!$F13+1),0),IF(E$6&lt;=Teams!$H13,Teams!$E13,ROUND(Teams!$E13*(Teams!$I13-E$6+1)/(Teams!$I13-Teams!$H13),0))))</f>
        <v/>
      </c>
      <c r="F15" s="34">
        <f>IF(OR(F$6&lt;Teams!$F13,F$6&gt;Teams!$I13),0,IF(F$6&lt;Teams!$G13,ROUND(Teams!$E13*(F$6-Teams!$F13+1)/(Teams!$G13-Teams!$F13+1),0),IF(F$6&lt;=Teams!$H13,Teams!$E13,ROUND(Teams!$E13*(Teams!$I13-F$6+1)/(Teams!$I13-Teams!$H13),0))))</f>
        <v/>
      </c>
      <c r="G15" s="34">
        <f>IF(OR(G$6&lt;Teams!$F13,G$6&gt;Teams!$I13),0,IF(G$6&lt;Teams!$G13,ROUND(Teams!$E13*(G$6-Teams!$F13+1)/(Teams!$G13-Teams!$F13+1),0),IF(G$6&lt;=Teams!$H13,Teams!$E13,ROUND(Teams!$E13*(Teams!$I13-G$6+1)/(Teams!$I13-Teams!$H13),0))))</f>
        <v/>
      </c>
      <c r="H15" s="34">
        <f>IF(OR(H$6&lt;Teams!$F13,H$6&gt;Teams!$I13),0,IF(H$6&lt;Teams!$G13,ROUND(Teams!$E13*(H$6-Teams!$F13+1)/(Teams!$G13-Teams!$F13+1),0),IF(H$6&lt;=Teams!$H13,Teams!$E13,ROUND(Teams!$E13*(Teams!$I13-H$6+1)/(Teams!$I13-Teams!$H13),0))))</f>
        <v/>
      </c>
      <c r="I15" s="34">
        <f>IF(OR(I$6&lt;Teams!$F13,I$6&gt;Teams!$I13),0,IF(I$6&lt;Teams!$G13,ROUND(Teams!$E13*(I$6-Teams!$F13+1)/(Teams!$G13-Teams!$F13+1),0),IF(I$6&lt;=Teams!$H13,Teams!$E13,ROUND(Teams!$E13*(Teams!$I13-I$6+1)/(Teams!$I13-Teams!$H13),0))))</f>
        <v/>
      </c>
      <c r="J15" s="34">
        <f>IF(OR(J$6&lt;Teams!$F13,J$6&gt;Teams!$I13),0,IF(J$6&lt;Teams!$G13,ROUND(Teams!$E13*(J$6-Teams!$F13+1)/(Teams!$G13-Teams!$F13+1),0),IF(J$6&lt;=Teams!$H13,Teams!$E13,ROUND(Teams!$E13*(Teams!$I13-J$6+1)/(Teams!$I13-Teams!$H13),0))))</f>
        <v/>
      </c>
      <c r="K15" s="34">
        <f>IF(OR(K$6&lt;Teams!$F13,K$6&gt;Teams!$I13),0,IF(K$6&lt;Teams!$G13,ROUND(Teams!$E13*(K$6-Teams!$F13+1)/(Teams!$G13-Teams!$F13+1),0),IF(K$6&lt;=Teams!$H13,Teams!$E13,ROUND(Teams!$E13*(Teams!$I13-K$6+1)/(Teams!$I13-Teams!$H13),0))))</f>
        <v/>
      </c>
      <c r="L15" s="34">
        <f>IF(OR(L$6&lt;Teams!$F13,L$6&gt;Teams!$I13),0,IF(L$6&lt;Teams!$G13,ROUND(Teams!$E13*(L$6-Teams!$F13+1)/(Teams!$G13-Teams!$F13+1),0),IF(L$6&lt;=Teams!$H13,Teams!$E13,ROUND(Teams!$E13*(Teams!$I13-L$6+1)/(Teams!$I13-Teams!$H13),0))))</f>
        <v/>
      </c>
      <c r="M15" s="34">
        <f>IF(OR(M$6&lt;Teams!$F13,M$6&gt;Teams!$I13),0,IF(M$6&lt;Teams!$G13,ROUND(Teams!$E13*(M$6-Teams!$F13+1)/(Teams!$G13-Teams!$F13+1),0),IF(M$6&lt;=Teams!$H13,Teams!$E13,ROUND(Teams!$E13*(Teams!$I13-M$6+1)/(Teams!$I13-Teams!$H13),0))))</f>
        <v/>
      </c>
      <c r="N15" s="34">
        <f>IF(OR(N$6&lt;Teams!$F13,N$6&gt;Teams!$I13),0,IF(N$6&lt;Teams!$G13,ROUND(Teams!$E13*(N$6-Teams!$F13+1)/(Teams!$G13-Teams!$F13+1),0),IF(N$6&lt;=Teams!$H13,Teams!$E13,ROUND(Teams!$E13*(Teams!$I13-N$6+1)/(Teams!$I13-Teams!$H13),0))))</f>
        <v/>
      </c>
      <c r="O15" s="34">
        <f>IF(OR(O$6&lt;Teams!$F13,O$6&gt;Teams!$I13),0,IF(O$6&lt;Teams!$G13,ROUND(Teams!$E13*(O$6-Teams!$F13+1)/(Teams!$G13-Teams!$F13+1),0),IF(O$6&lt;=Teams!$H13,Teams!$E13,ROUND(Teams!$E13*(Teams!$I13-O$6+1)/(Teams!$I13-Teams!$H13),0))))</f>
        <v/>
      </c>
      <c r="P15" s="34">
        <f>IF(OR(P$6&lt;Teams!$F13,P$6&gt;Teams!$I13),0,IF(P$6&lt;Teams!$G13,ROUND(Teams!$E13*(P$6-Teams!$F13+1)/(Teams!$G13-Teams!$F13+1),0),IF(P$6&lt;=Teams!$H13,Teams!$E13,ROUND(Teams!$E13*(Teams!$I13-P$6+1)/(Teams!$I13-Teams!$H13),0))))</f>
        <v/>
      </c>
      <c r="Q15" s="34">
        <f>IF(OR(Q$6&lt;Teams!$F13,Q$6&gt;Teams!$I13),0,IF(Q$6&lt;Teams!$G13,ROUND(Teams!$E13*(Q$6-Teams!$F13+1)/(Teams!$G13-Teams!$F13+1),0),IF(Q$6&lt;=Teams!$H13,Teams!$E13,ROUND(Teams!$E13*(Teams!$I13-Q$6+1)/(Teams!$I13-Teams!$H13),0))))</f>
        <v/>
      </c>
      <c r="R15" s="34">
        <f>IF(OR(R$6&lt;Teams!$F13,R$6&gt;Teams!$I13),0,IF(R$6&lt;Teams!$G13,ROUND(Teams!$E13*(R$6-Teams!$F13+1)/(Teams!$G13-Teams!$F13+1),0),IF(R$6&lt;=Teams!$H13,Teams!$E13,ROUND(Teams!$E13*(Teams!$I13-R$6+1)/(Teams!$I13-Teams!$H13),0))))</f>
        <v/>
      </c>
      <c r="S15" s="34">
        <f>IF(OR(S$6&lt;Teams!$F13,S$6&gt;Teams!$I13),0,IF(S$6&lt;Teams!$G13,ROUND(Teams!$E13*(S$6-Teams!$F13+1)/(Teams!$G13-Teams!$F13+1),0),IF(S$6&lt;=Teams!$H13,Teams!$E13,ROUND(Teams!$E13*(Teams!$I13-S$6+1)/(Teams!$I13-Teams!$H13),0))))</f>
        <v/>
      </c>
      <c r="T15" s="34">
        <f>IF(OR(T$6&lt;Teams!$F13,T$6&gt;Teams!$I13),0,IF(T$6&lt;Teams!$G13,ROUND(Teams!$E13*(T$6-Teams!$F13+1)/(Teams!$G13-Teams!$F13+1),0),IF(T$6&lt;=Teams!$H13,Teams!$E13,ROUND(Teams!$E13*(Teams!$I13-T$6+1)/(Teams!$I13-Teams!$H13),0))))</f>
        <v/>
      </c>
      <c r="U15" s="34">
        <f>IF(OR(U$6&lt;Teams!$F13,U$6&gt;Teams!$I13),0,IF(U$6&lt;Teams!$G13,ROUND(Teams!$E13*(U$6-Teams!$F13+1)/(Teams!$G13-Teams!$F13+1),0),IF(U$6&lt;=Teams!$H13,Teams!$E13,ROUND(Teams!$E13*(Teams!$I13-U$6+1)/(Teams!$I13-Teams!$H13),0))))</f>
        <v/>
      </c>
      <c r="V15" s="34">
        <f>IF(OR(V$6&lt;Teams!$F13,V$6&gt;Teams!$I13),0,IF(V$6&lt;Teams!$G13,ROUND(Teams!$E13*(V$6-Teams!$F13+1)/(Teams!$G13-Teams!$F13+1),0),IF(V$6&lt;=Teams!$H13,Teams!$E13,ROUND(Teams!$E13*(Teams!$I13-V$6+1)/(Teams!$I13-Teams!$H13),0))))</f>
        <v/>
      </c>
      <c r="W15" s="34">
        <f>IF(OR(W$6&lt;Teams!$F13,W$6&gt;Teams!$I13),0,IF(W$6&lt;Teams!$G13,ROUND(Teams!$E13*(W$6-Teams!$F13+1)/(Teams!$G13-Teams!$F13+1),0),IF(W$6&lt;=Teams!$H13,Teams!$E13,ROUND(Teams!$E13*(Teams!$I13-W$6+1)/(Teams!$I13-Teams!$H13),0))))</f>
        <v/>
      </c>
      <c r="X15" s="34">
        <f>IF(OR(X$6&lt;Teams!$F13,X$6&gt;Teams!$I13),0,IF(X$6&lt;Teams!$G13,ROUND(Teams!$E13*(X$6-Teams!$F13+1)/(Teams!$G13-Teams!$F13+1),0),IF(X$6&lt;=Teams!$H13,Teams!$E13,ROUND(Teams!$E13*(Teams!$I13-X$6+1)/(Teams!$I13-Teams!$H13),0))))</f>
        <v/>
      </c>
      <c r="Y15" s="34">
        <f>IF(OR(Y$6&lt;Teams!$F13,Y$6&gt;Teams!$I13),0,IF(Y$6&lt;Teams!$G13,ROUND(Teams!$E13*(Y$6-Teams!$F13+1)/(Teams!$G13-Teams!$F13+1),0),IF(Y$6&lt;=Teams!$H13,Teams!$E13,ROUND(Teams!$E13*(Teams!$I13-Y$6+1)/(Teams!$I13-Teams!$H13),0))))</f>
        <v/>
      </c>
      <c r="Z15" s="34">
        <f>IF(OR(Z$6&lt;Teams!$F13,Z$6&gt;Teams!$I13),0,IF(Z$6&lt;Teams!$G13,ROUND(Teams!$E13*(Z$6-Teams!$F13+1)/(Teams!$G13-Teams!$F13+1),0),IF(Z$6&lt;=Teams!$H13,Teams!$E13,ROUND(Teams!$E13*(Teams!$I13-Z$6+1)/(Teams!$I13-Teams!$H13),0))))</f>
        <v/>
      </c>
      <c r="AA15" s="34">
        <f>IF(OR(AA$6&lt;Teams!$F13,AA$6&gt;Teams!$I13),0,IF(AA$6&lt;Teams!$G13,ROUND(Teams!$E13*(AA$6-Teams!$F13+1)/(Teams!$G13-Teams!$F13+1),0),IF(AA$6&lt;=Teams!$H13,Teams!$E13,ROUND(Teams!$E13*(Teams!$I13-AA$6+1)/(Teams!$I13-Teams!$H13),0))))</f>
        <v/>
      </c>
      <c r="AB15" s="34">
        <f>IF(OR(AB$6&lt;Teams!$F13,AB$6&gt;Teams!$I13),0,IF(AB$6&lt;Teams!$G13,ROUND(Teams!$E13*(AB$6-Teams!$F13+1)/(Teams!$G13-Teams!$F13+1),0),IF(AB$6&lt;=Teams!$H13,Teams!$E13,ROUND(Teams!$E13*(Teams!$I13-AB$6+1)/(Teams!$I13-Teams!$H13),0))))</f>
        <v/>
      </c>
      <c r="AC15" s="34">
        <f>IF(OR(AC$6&lt;Teams!$F13,AC$6&gt;Teams!$I13),0,IF(AC$6&lt;Teams!$G13,ROUND(Teams!$E13*(AC$6-Teams!$F13+1)/(Teams!$G13-Teams!$F13+1),0),IF(AC$6&lt;=Teams!$H13,Teams!$E13,ROUND(Teams!$E13*(Teams!$I13-AC$6+1)/(Teams!$I13-Teams!$H13),0))))</f>
        <v/>
      </c>
      <c r="AD15" s="34">
        <f>IF(OR(AD$6&lt;Teams!$F13,AD$6&gt;Teams!$I13),0,IF(AD$6&lt;Teams!$G13,ROUND(Teams!$E13*(AD$6-Teams!$F13+1)/(Teams!$G13-Teams!$F13+1),0),IF(AD$6&lt;=Teams!$H13,Teams!$E13,ROUND(Teams!$E13*(Teams!$I13-AD$6+1)/(Teams!$I13-Teams!$H13),0))))</f>
        <v/>
      </c>
      <c r="AE15" s="34">
        <f>IF(OR(AE$6&lt;Teams!$F13,AE$6&gt;Teams!$I13),0,IF(AE$6&lt;Teams!$G13,ROUND(Teams!$E13*(AE$6-Teams!$F13+1)/(Teams!$G13-Teams!$F13+1),0),IF(AE$6&lt;=Teams!$H13,Teams!$E13,ROUND(Teams!$E13*(Teams!$I13-AE$6+1)/(Teams!$I13-Teams!$H13),0))))</f>
        <v/>
      </c>
      <c r="AF15" s="34">
        <f>IF(OR(AF$6&lt;Teams!$F13,AF$6&gt;Teams!$I13),0,IF(AF$6&lt;Teams!$G13,ROUND(Teams!$E13*(AF$6-Teams!$F13+1)/(Teams!$G13-Teams!$F13+1),0),IF(AF$6&lt;=Teams!$H13,Teams!$E13,ROUND(Teams!$E13*(Teams!$I13-AF$6+1)/(Teams!$I13-Teams!$H13),0))))</f>
        <v/>
      </c>
      <c r="AG15" s="34">
        <f>IF(OR(AG$6&lt;Teams!$F13,AG$6&gt;Teams!$I13),0,IF(AG$6&lt;Teams!$G13,ROUND(Teams!$E13*(AG$6-Teams!$F13+1)/(Teams!$G13-Teams!$F13+1),0),IF(AG$6&lt;=Teams!$H13,Teams!$E13,ROUND(Teams!$E13*(Teams!$I13-AG$6+1)/(Teams!$I13-Teams!$H13),0))))</f>
        <v/>
      </c>
      <c r="AH15" s="34">
        <f>IF(OR(AH$6&lt;Teams!$F13,AH$6&gt;Teams!$I13),0,IF(AH$6&lt;Teams!$G13,ROUND(Teams!$E13*(AH$6-Teams!$F13+1)/(Teams!$G13-Teams!$F13+1),0),IF(AH$6&lt;=Teams!$H13,Teams!$E13,ROUND(Teams!$E13*(Teams!$I13-AH$6+1)/(Teams!$I13-Teams!$H13),0))))</f>
        <v/>
      </c>
      <c r="AI15" s="34">
        <f>IF(OR(AI$6&lt;Teams!$F13,AI$6&gt;Teams!$I13),0,IF(AI$6&lt;Teams!$G13,ROUND(Teams!$E13*(AI$6-Teams!$F13+1)/(Teams!$G13-Teams!$F13+1),0),IF(AI$6&lt;=Teams!$H13,Teams!$E13,ROUND(Teams!$E13*(Teams!$I13-AI$6+1)/(Teams!$I13-Teams!$H13),0))))</f>
        <v/>
      </c>
      <c r="AJ15" s="34">
        <f>IF(OR(AJ$6&lt;Teams!$F13,AJ$6&gt;Teams!$I13),0,IF(AJ$6&lt;Teams!$G13,ROUND(Teams!$E13*(AJ$6-Teams!$F13+1)/(Teams!$G13-Teams!$F13+1),0),IF(AJ$6&lt;=Teams!$H13,Teams!$E13,ROUND(Teams!$E13*(Teams!$I13-AJ$6+1)/(Teams!$I13-Teams!$H13),0))))</f>
        <v/>
      </c>
      <c r="AK15" s="34">
        <f>IF(OR(AK$6&lt;Teams!$F13,AK$6&gt;Teams!$I13),0,IF(AK$6&lt;Teams!$G13,ROUND(Teams!$E13*(AK$6-Teams!$F13+1)/(Teams!$G13-Teams!$F13+1),0),IF(AK$6&lt;=Teams!$H13,Teams!$E13,ROUND(Teams!$E13*(Teams!$I13-AK$6+1)/(Teams!$I13-Teams!$H13),0))))</f>
        <v/>
      </c>
      <c r="AL15" s="34">
        <f>IF(OR(AL$6&lt;Teams!$F13,AL$6&gt;Teams!$I13),0,IF(AL$6&lt;Teams!$G13,ROUND(Teams!$E13*(AL$6-Teams!$F13+1)/(Teams!$G13-Teams!$F13+1),0),IF(AL$6&lt;=Teams!$H13,Teams!$E13,ROUND(Teams!$E13*(Teams!$I13-AL$6+1)/(Teams!$I13-Teams!$H13),0))))</f>
        <v/>
      </c>
      <c r="AM15" s="34">
        <f>IF(OR(AM$6&lt;Teams!$F13,AM$6&gt;Teams!$I13),0,IF(AM$6&lt;Teams!$G13,ROUND(Teams!$E13*(AM$6-Teams!$F13+1)/(Teams!$G13-Teams!$F13+1),0),IF(AM$6&lt;=Teams!$H13,Teams!$E13,ROUND(Teams!$E13*(Teams!$I13-AM$6+1)/(Teams!$I13-Teams!$H13),0))))</f>
        <v/>
      </c>
      <c r="AN15" s="34">
        <f>IF(OR(AN$6&lt;Teams!$F13,AN$6&gt;Teams!$I13),0,IF(AN$6&lt;Teams!$G13,ROUND(Teams!$E13*(AN$6-Teams!$F13+1)/(Teams!$G13-Teams!$F13+1),0),IF(AN$6&lt;=Teams!$H13,Teams!$E13,ROUND(Teams!$E13*(Teams!$I13-AN$6+1)/(Teams!$I13-Teams!$H13),0))))</f>
        <v/>
      </c>
    </row>
    <row r="16">
      <c r="A16" s="33">
        <f>Teams!A14</f>
        <v/>
      </c>
      <c r="B16" s="33">
        <f>Teams!C14&amp;" — "&amp;Teams!B14</f>
        <v/>
      </c>
      <c r="C16" s="34">
        <f>IF(OR(C$6&lt;Teams!$F14,C$6&gt;Teams!$I14),0,IF(C$6&lt;Teams!$G14,ROUND(Teams!$E14*(C$6-Teams!$F14+1)/(Teams!$G14-Teams!$F14+1),0),IF(C$6&lt;=Teams!$H14,Teams!$E14,ROUND(Teams!$E14*(Teams!$I14-C$6+1)/(Teams!$I14-Teams!$H14),0))))</f>
        <v/>
      </c>
      <c r="D16" s="34">
        <f>IF(OR(D$6&lt;Teams!$F14,D$6&gt;Teams!$I14),0,IF(D$6&lt;Teams!$G14,ROUND(Teams!$E14*(D$6-Teams!$F14+1)/(Teams!$G14-Teams!$F14+1),0),IF(D$6&lt;=Teams!$H14,Teams!$E14,ROUND(Teams!$E14*(Teams!$I14-D$6+1)/(Teams!$I14-Teams!$H14),0))))</f>
        <v/>
      </c>
      <c r="E16" s="34">
        <f>IF(OR(E$6&lt;Teams!$F14,E$6&gt;Teams!$I14),0,IF(E$6&lt;Teams!$G14,ROUND(Teams!$E14*(E$6-Teams!$F14+1)/(Teams!$G14-Teams!$F14+1),0),IF(E$6&lt;=Teams!$H14,Teams!$E14,ROUND(Teams!$E14*(Teams!$I14-E$6+1)/(Teams!$I14-Teams!$H14),0))))</f>
        <v/>
      </c>
      <c r="F16" s="34">
        <f>IF(OR(F$6&lt;Teams!$F14,F$6&gt;Teams!$I14),0,IF(F$6&lt;Teams!$G14,ROUND(Teams!$E14*(F$6-Teams!$F14+1)/(Teams!$G14-Teams!$F14+1),0),IF(F$6&lt;=Teams!$H14,Teams!$E14,ROUND(Teams!$E14*(Teams!$I14-F$6+1)/(Teams!$I14-Teams!$H14),0))))</f>
        <v/>
      </c>
      <c r="G16" s="34">
        <f>IF(OR(G$6&lt;Teams!$F14,G$6&gt;Teams!$I14),0,IF(G$6&lt;Teams!$G14,ROUND(Teams!$E14*(G$6-Teams!$F14+1)/(Teams!$G14-Teams!$F14+1),0),IF(G$6&lt;=Teams!$H14,Teams!$E14,ROUND(Teams!$E14*(Teams!$I14-G$6+1)/(Teams!$I14-Teams!$H14),0))))</f>
        <v/>
      </c>
      <c r="H16" s="34">
        <f>IF(OR(H$6&lt;Teams!$F14,H$6&gt;Teams!$I14),0,IF(H$6&lt;Teams!$G14,ROUND(Teams!$E14*(H$6-Teams!$F14+1)/(Teams!$G14-Teams!$F14+1),0),IF(H$6&lt;=Teams!$H14,Teams!$E14,ROUND(Teams!$E14*(Teams!$I14-H$6+1)/(Teams!$I14-Teams!$H14),0))))</f>
        <v/>
      </c>
      <c r="I16" s="34">
        <f>IF(OR(I$6&lt;Teams!$F14,I$6&gt;Teams!$I14),0,IF(I$6&lt;Teams!$G14,ROUND(Teams!$E14*(I$6-Teams!$F14+1)/(Teams!$G14-Teams!$F14+1),0),IF(I$6&lt;=Teams!$H14,Teams!$E14,ROUND(Teams!$E14*(Teams!$I14-I$6+1)/(Teams!$I14-Teams!$H14),0))))</f>
        <v/>
      </c>
      <c r="J16" s="34">
        <f>IF(OR(J$6&lt;Teams!$F14,J$6&gt;Teams!$I14),0,IF(J$6&lt;Teams!$G14,ROUND(Teams!$E14*(J$6-Teams!$F14+1)/(Teams!$G14-Teams!$F14+1),0),IF(J$6&lt;=Teams!$H14,Teams!$E14,ROUND(Teams!$E14*(Teams!$I14-J$6+1)/(Teams!$I14-Teams!$H14),0))))</f>
        <v/>
      </c>
      <c r="K16" s="34">
        <f>IF(OR(K$6&lt;Teams!$F14,K$6&gt;Teams!$I14),0,IF(K$6&lt;Teams!$G14,ROUND(Teams!$E14*(K$6-Teams!$F14+1)/(Teams!$G14-Teams!$F14+1),0),IF(K$6&lt;=Teams!$H14,Teams!$E14,ROUND(Teams!$E14*(Teams!$I14-K$6+1)/(Teams!$I14-Teams!$H14),0))))</f>
        <v/>
      </c>
      <c r="L16" s="34">
        <f>IF(OR(L$6&lt;Teams!$F14,L$6&gt;Teams!$I14),0,IF(L$6&lt;Teams!$G14,ROUND(Teams!$E14*(L$6-Teams!$F14+1)/(Teams!$G14-Teams!$F14+1),0),IF(L$6&lt;=Teams!$H14,Teams!$E14,ROUND(Teams!$E14*(Teams!$I14-L$6+1)/(Teams!$I14-Teams!$H14),0))))</f>
        <v/>
      </c>
      <c r="M16" s="34">
        <f>IF(OR(M$6&lt;Teams!$F14,M$6&gt;Teams!$I14),0,IF(M$6&lt;Teams!$G14,ROUND(Teams!$E14*(M$6-Teams!$F14+1)/(Teams!$G14-Teams!$F14+1),0),IF(M$6&lt;=Teams!$H14,Teams!$E14,ROUND(Teams!$E14*(Teams!$I14-M$6+1)/(Teams!$I14-Teams!$H14),0))))</f>
        <v/>
      </c>
      <c r="N16" s="34">
        <f>IF(OR(N$6&lt;Teams!$F14,N$6&gt;Teams!$I14),0,IF(N$6&lt;Teams!$G14,ROUND(Teams!$E14*(N$6-Teams!$F14+1)/(Teams!$G14-Teams!$F14+1),0),IF(N$6&lt;=Teams!$H14,Teams!$E14,ROUND(Teams!$E14*(Teams!$I14-N$6+1)/(Teams!$I14-Teams!$H14),0))))</f>
        <v/>
      </c>
      <c r="O16" s="34">
        <f>IF(OR(O$6&lt;Teams!$F14,O$6&gt;Teams!$I14),0,IF(O$6&lt;Teams!$G14,ROUND(Teams!$E14*(O$6-Teams!$F14+1)/(Teams!$G14-Teams!$F14+1),0),IF(O$6&lt;=Teams!$H14,Teams!$E14,ROUND(Teams!$E14*(Teams!$I14-O$6+1)/(Teams!$I14-Teams!$H14),0))))</f>
        <v/>
      </c>
      <c r="P16" s="34">
        <f>IF(OR(P$6&lt;Teams!$F14,P$6&gt;Teams!$I14),0,IF(P$6&lt;Teams!$G14,ROUND(Teams!$E14*(P$6-Teams!$F14+1)/(Teams!$G14-Teams!$F14+1),0),IF(P$6&lt;=Teams!$H14,Teams!$E14,ROUND(Teams!$E14*(Teams!$I14-P$6+1)/(Teams!$I14-Teams!$H14),0))))</f>
        <v/>
      </c>
      <c r="Q16" s="34">
        <f>IF(OR(Q$6&lt;Teams!$F14,Q$6&gt;Teams!$I14),0,IF(Q$6&lt;Teams!$G14,ROUND(Teams!$E14*(Q$6-Teams!$F14+1)/(Teams!$G14-Teams!$F14+1),0),IF(Q$6&lt;=Teams!$H14,Teams!$E14,ROUND(Teams!$E14*(Teams!$I14-Q$6+1)/(Teams!$I14-Teams!$H14),0))))</f>
        <v/>
      </c>
      <c r="R16" s="34">
        <f>IF(OR(R$6&lt;Teams!$F14,R$6&gt;Teams!$I14),0,IF(R$6&lt;Teams!$G14,ROUND(Teams!$E14*(R$6-Teams!$F14+1)/(Teams!$G14-Teams!$F14+1),0),IF(R$6&lt;=Teams!$H14,Teams!$E14,ROUND(Teams!$E14*(Teams!$I14-R$6+1)/(Teams!$I14-Teams!$H14),0))))</f>
        <v/>
      </c>
      <c r="S16" s="34">
        <f>IF(OR(S$6&lt;Teams!$F14,S$6&gt;Teams!$I14),0,IF(S$6&lt;Teams!$G14,ROUND(Teams!$E14*(S$6-Teams!$F14+1)/(Teams!$G14-Teams!$F14+1),0),IF(S$6&lt;=Teams!$H14,Teams!$E14,ROUND(Teams!$E14*(Teams!$I14-S$6+1)/(Teams!$I14-Teams!$H14),0))))</f>
        <v/>
      </c>
      <c r="T16" s="34">
        <f>IF(OR(T$6&lt;Teams!$F14,T$6&gt;Teams!$I14),0,IF(T$6&lt;Teams!$G14,ROUND(Teams!$E14*(T$6-Teams!$F14+1)/(Teams!$G14-Teams!$F14+1),0),IF(T$6&lt;=Teams!$H14,Teams!$E14,ROUND(Teams!$E14*(Teams!$I14-T$6+1)/(Teams!$I14-Teams!$H14),0))))</f>
        <v/>
      </c>
      <c r="U16" s="34">
        <f>IF(OR(U$6&lt;Teams!$F14,U$6&gt;Teams!$I14),0,IF(U$6&lt;Teams!$G14,ROUND(Teams!$E14*(U$6-Teams!$F14+1)/(Teams!$G14-Teams!$F14+1),0),IF(U$6&lt;=Teams!$H14,Teams!$E14,ROUND(Teams!$E14*(Teams!$I14-U$6+1)/(Teams!$I14-Teams!$H14),0))))</f>
        <v/>
      </c>
      <c r="V16" s="34">
        <f>IF(OR(V$6&lt;Teams!$F14,V$6&gt;Teams!$I14),0,IF(V$6&lt;Teams!$G14,ROUND(Teams!$E14*(V$6-Teams!$F14+1)/(Teams!$G14-Teams!$F14+1),0),IF(V$6&lt;=Teams!$H14,Teams!$E14,ROUND(Teams!$E14*(Teams!$I14-V$6+1)/(Teams!$I14-Teams!$H14),0))))</f>
        <v/>
      </c>
      <c r="W16" s="34">
        <f>IF(OR(W$6&lt;Teams!$F14,W$6&gt;Teams!$I14),0,IF(W$6&lt;Teams!$G14,ROUND(Teams!$E14*(W$6-Teams!$F14+1)/(Teams!$G14-Teams!$F14+1),0),IF(W$6&lt;=Teams!$H14,Teams!$E14,ROUND(Teams!$E14*(Teams!$I14-W$6+1)/(Teams!$I14-Teams!$H14),0))))</f>
        <v/>
      </c>
      <c r="X16" s="34">
        <f>IF(OR(X$6&lt;Teams!$F14,X$6&gt;Teams!$I14),0,IF(X$6&lt;Teams!$G14,ROUND(Teams!$E14*(X$6-Teams!$F14+1)/(Teams!$G14-Teams!$F14+1),0),IF(X$6&lt;=Teams!$H14,Teams!$E14,ROUND(Teams!$E14*(Teams!$I14-X$6+1)/(Teams!$I14-Teams!$H14),0))))</f>
        <v/>
      </c>
      <c r="Y16" s="34">
        <f>IF(OR(Y$6&lt;Teams!$F14,Y$6&gt;Teams!$I14),0,IF(Y$6&lt;Teams!$G14,ROUND(Teams!$E14*(Y$6-Teams!$F14+1)/(Teams!$G14-Teams!$F14+1),0),IF(Y$6&lt;=Teams!$H14,Teams!$E14,ROUND(Teams!$E14*(Teams!$I14-Y$6+1)/(Teams!$I14-Teams!$H14),0))))</f>
        <v/>
      </c>
      <c r="Z16" s="34">
        <f>IF(OR(Z$6&lt;Teams!$F14,Z$6&gt;Teams!$I14),0,IF(Z$6&lt;Teams!$G14,ROUND(Teams!$E14*(Z$6-Teams!$F14+1)/(Teams!$G14-Teams!$F14+1),0),IF(Z$6&lt;=Teams!$H14,Teams!$E14,ROUND(Teams!$E14*(Teams!$I14-Z$6+1)/(Teams!$I14-Teams!$H14),0))))</f>
        <v/>
      </c>
      <c r="AA16" s="34">
        <f>IF(OR(AA$6&lt;Teams!$F14,AA$6&gt;Teams!$I14),0,IF(AA$6&lt;Teams!$G14,ROUND(Teams!$E14*(AA$6-Teams!$F14+1)/(Teams!$G14-Teams!$F14+1),0),IF(AA$6&lt;=Teams!$H14,Teams!$E14,ROUND(Teams!$E14*(Teams!$I14-AA$6+1)/(Teams!$I14-Teams!$H14),0))))</f>
        <v/>
      </c>
      <c r="AB16" s="34">
        <f>IF(OR(AB$6&lt;Teams!$F14,AB$6&gt;Teams!$I14),0,IF(AB$6&lt;Teams!$G14,ROUND(Teams!$E14*(AB$6-Teams!$F14+1)/(Teams!$G14-Teams!$F14+1),0),IF(AB$6&lt;=Teams!$H14,Teams!$E14,ROUND(Teams!$E14*(Teams!$I14-AB$6+1)/(Teams!$I14-Teams!$H14),0))))</f>
        <v/>
      </c>
      <c r="AC16" s="34">
        <f>IF(OR(AC$6&lt;Teams!$F14,AC$6&gt;Teams!$I14),0,IF(AC$6&lt;Teams!$G14,ROUND(Teams!$E14*(AC$6-Teams!$F14+1)/(Teams!$G14-Teams!$F14+1),0),IF(AC$6&lt;=Teams!$H14,Teams!$E14,ROUND(Teams!$E14*(Teams!$I14-AC$6+1)/(Teams!$I14-Teams!$H14),0))))</f>
        <v/>
      </c>
      <c r="AD16" s="34">
        <f>IF(OR(AD$6&lt;Teams!$F14,AD$6&gt;Teams!$I14),0,IF(AD$6&lt;Teams!$G14,ROUND(Teams!$E14*(AD$6-Teams!$F14+1)/(Teams!$G14-Teams!$F14+1),0),IF(AD$6&lt;=Teams!$H14,Teams!$E14,ROUND(Teams!$E14*(Teams!$I14-AD$6+1)/(Teams!$I14-Teams!$H14),0))))</f>
        <v/>
      </c>
      <c r="AE16" s="34">
        <f>IF(OR(AE$6&lt;Teams!$F14,AE$6&gt;Teams!$I14),0,IF(AE$6&lt;Teams!$G14,ROUND(Teams!$E14*(AE$6-Teams!$F14+1)/(Teams!$G14-Teams!$F14+1),0),IF(AE$6&lt;=Teams!$H14,Teams!$E14,ROUND(Teams!$E14*(Teams!$I14-AE$6+1)/(Teams!$I14-Teams!$H14),0))))</f>
        <v/>
      </c>
      <c r="AF16" s="34">
        <f>IF(OR(AF$6&lt;Teams!$F14,AF$6&gt;Teams!$I14),0,IF(AF$6&lt;Teams!$G14,ROUND(Teams!$E14*(AF$6-Teams!$F14+1)/(Teams!$G14-Teams!$F14+1),0),IF(AF$6&lt;=Teams!$H14,Teams!$E14,ROUND(Teams!$E14*(Teams!$I14-AF$6+1)/(Teams!$I14-Teams!$H14),0))))</f>
        <v/>
      </c>
      <c r="AG16" s="34">
        <f>IF(OR(AG$6&lt;Teams!$F14,AG$6&gt;Teams!$I14),0,IF(AG$6&lt;Teams!$G14,ROUND(Teams!$E14*(AG$6-Teams!$F14+1)/(Teams!$G14-Teams!$F14+1),0),IF(AG$6&lt;=Teams!$H14,Teams!$E14,ROUND(Teams!$E14*(Teams!$I14-AG$6+1)/(Teams!$I14-Teams!$H14),0))))</f>
        <v/>
      </c>
      <c r="AH16" s="34">
        <f>IF(OR(AH$6&lt;Teams!$F14,AH$6&gt;Teams!$I14),0,IF(AH$6&lt;Teams!$G14,ROUND(Teams!$E14*(AH$6-Teams!$F14+1)/(Teams!$G14-Teams!$F14+1),0),IF(AH$6&lt;=Teams!$H14,Teams!$E14,ROUND(Teams!$E14*(Teams!$I14-AH$6+1)/(Teams!$I14-Teams!$H14),0))))</f>
        <v/>
      </c>
      <c r="AI16" s="34">
        <f>IF(OR(AI$6&lt;Teams!$F14,AI$6&gt;Teams!$I14),0,IF(AI$6&lt;Teams!$G14,ROUND(Teams!$E14*(AI$6-Teams!$F14+1)/(Teams!$G14-Teams!$F14+1),0),IF(AI$6&lt;=Teams!$H14,Teams!$E14,ROUND(Teams!$E14*(Teams!$I14-AI$6+1)/(Teams!$I14-Teams!$H14),0))))</f>
        <v/>
      </c>
      <c r="AJ16" s="34">
        <f>IF(OR(AJ$6&lt;Teams!$F14,AJ$6&gt;Teams!$I14),0,IF(AJ$6&lt;Teams!$G14,ROUND(Teams!$E14*(AJ$6-Teams!$F14+1)/(Teams!$G14-Teams!$F14+1),0),IF(AJ$6&lt;=Teams!$H14,Teams!$E14,ROUND(Teams!$E14*(Teams!$I14-AJ$6+1)/(Teams!$I14-Teams!$H14),0))))</f>
        <v/>
      </c>
      <c r="AK16" s="34">
        <f>IF(OR(AK$6&lt;Teams!$F14,AK$6&gt;Teams!$I14),0,IF(AK$6&lt;Teams!$G14,ROUND(Teams!$E14*(AK$6-Teams!$F14+1)/(Teams!$G14-Teams!$F14+1),0),IF(AK$6&lt;=Teams!$H14,Teams!$E14,ROUND(Teams!$E14*(Teams!$I14-AK$6+1)/(Teams!$I14-Teams!$H14),0))))</f>
        <v/>
      </c>
      <c r="AL16" s="34">
        <f>IF(OR(AL$6&lt;Teams!$F14,AL$6&gt;Teams!$I14),0,IF(AL$6&lt;Teams!$G14,ROUND(Teams!$E14*(AL$6-Teams!$F14+1)/(Teams!$G14-Teams!$F14+1),0),IF(AL$6&lt;=Teams!$H14,Teams!$E14,ROUND(Teams!$E14*(Teams!$I14-AL$6+1)/(Teams!$I14-Teams!$H14),0))))</f>
        <v/>
      </c>
      <c r="AM16" s="34">
        <f>IF(OR(AM$6&lt;Teams!$F14,AM$6&gt;Teams!$I14),0,IF(AM$6&lt;Teams!$G14,ROUND(Teams!$E14*(AM$6-Teams!$F14+1)/(Teams!$G14-Teams!$F14+1),0),IF(AM$6&lt;=Teams!$H14,Teams!$E14,ROUND(Teams!$E14*(Teams!$I14-AM$6+1)/(Teams!$I14-Teams!$H14),0))))</f>
        <v/>
      </c>
      <c r="AN16" s="34">
        <f>IF(OR(AN$6&lt;Teams!$F14,AN$6&gt;Teams!$I14),0,IF(AN$6&lt;Teams!$G14,ROUND(Teams!$E14*(AN$6-Teams!$F14+1)/(Teams!$G14-Teams!$F14+1),0),IF(AN$6&lt;=Teams!$H14,Teams!$E14,ROUND(Teams!$E14*(Teams!$I14-AN$6+1)/(Teams!$I14-Teams!$H14),0))))</f>
        <v/>
      </c>
    </row>
    <row r="17">
      <c r="A17" s="33">
        <f>Teams!A15</f>
        <v/>
      </c>
      <c r="B17" s="33">
        <f>Teams!C15&amp;" — "&amp;Teams!B15</f>
        <v/>
      </c>
      <c r="C17" s="34">
        <f>IF(OR(C$6&lt;Teams!$F15,C$6&gt;Teams!$I15),0,IF(C$6&lt;Teams!$G15,ROUND(Teams!$E15*(C$6-Teams!$F15+1)/(Teams!$G15-Teams!$F15+1),0),IF(C$6&lt;=Teams!$H15,Teams!$E15,ROUND(Teams!$E15*(Teams!$I15-C$6+1)/(Teams!$I15-Teams!$H15),0))))</f>
        <v/>
      </c>
      <c r="D17" s="34">
        <f>IF(OR(D$6&lt;Teams!$F15,D$6&gt;Teams!$I15),0,IF(D$6&lt;Teams!$G15,ROUND(Teams!$E15*(D$6-Teams!$F15+1)/(Teams!$G15-Teams!$F15+1),0),IF(D$6&lt;=Teams!$H15,Teams!$E15,ROUND(Teams!$E15*(Teams!$I15-D$6+1)/(Teams!$I15-Teams!$H15),0))))</f>
        <v/>
      </c>
      <c r="E17" s="34">
        <f>IF(OR(E$6&lt;Teams!$F15,E$6&gt;Teams!$I15),0,IF(E$6&lt;Teams!$G15,ROUND(Teams!$E15*(E$6-Teams!$F15+1)/(Teams!$G15-Teams!$F15+1),0),IF(E$6&lt;=Teams!$H15,Teams!$E15,ROUND(Teams!$E15*(Teams!$I15-E$6+1)/(Teams!$I15-Teams!$H15),0))))</f>
        <v/>
      </c>
      <c r="F17" s="34">
        <f>IF(OR(F$6&lt;Teams!$F15,F$6&gt;Teams!$I15),0,IF(F$6&lt;Teams!$G15,ROUND(Teams!$E15*(F$6-Teams!$F15+1)/(Teams!$G15-Teams!$F15+1),0),IF(F$6&lt;=Teams!$H15,Teams!$E15,ROUND(Teams!$E15*(Teams!$I15-F$6+1)/(Teams!$I15-Teams!$H15),0))))</f>
        <v/>
      </c>
      <c r="G17" s="34">
        <f>IF(OR(G$6&lt;Teams!$F15,G$6&gt;Teams!$I15),0,IF(G$6&lt;Teams!$G15,ROUND(Teams!$E15*(G$6-Teams!$F15+1)/(Teams!$G15-Teams!$F15+1),0),IF(G$6&lt;=Teams!$H15,Teams!$E15,ROUND(Teams!$E15*(Teams!$I15-G$6+1)/(Teams!$I15-Teams!$H15),0))))</f>
        <v/>
      </c>
      <c r="H17" s="34">
        <f>IF(OR(H$6&lt;Teams!$F15,H$6&gt;Teams!$I15),0,IF(H$6&lt;Teams!$G15,ROUND(Teams!$E15*(H$6-Teams!$F15+1)/(Teams!$G15-Teams!$F15+1),0),IF(H$6&lt;=Teams!$H15,Teams!$E15,ROUND(Teams!$E15*(Teams!$I15-H$6+1)/(Teams!$I15-Teams!$H15),0))))</f>
        <v/>
      </c>
      <c r="I17" s="34">
        <f>IF(OR(I$6&lt;Teams!$F15,I$6&gt;Teams!$I15),0,IF(I$6&lt;Teams!$G15,ROUND(Teams!$E15*(I$6-Teams!$F15+1)/(Teams!$G15-Teams!$F15+1),0),IF(I$6&lt;=Teams!$H15,Teams!$E15,ROUND(Teams!$E15*(Teams!$I15-I$6+1)/(Teams!$I15-Teams!$H15),0))))</f>
        <v/>
      </c>
      <c r="J17" s="34">
        <f>IF(OR(J$6&lt;Teams!$F15,J$6&gt;Teams!$I15),0,IF(J$6&lt;Teams!$G15,ROUND(Teams!$E15*(J$6-Teams!$F15+1)/(Teams!$G15-Teams!$F15+1),0),IF(J$6&lt;=Teams!$H15,Teams!$E15,ROUND(Teams!$E15*(Teams!$I15-J$6+1)/(Teams!$I15-Teams!$H15),0))))</f>
        <v/>
      </c>
      <c r="K17" s="34">
        <f>IF(OR(K$6&lt;Teams!$F15,K$6&gt;Teams!$I15),0,IF(K$6&lt;Teams!$G15,ROUND(Teams!$E15*(K$6-Teams!$F15+1)/(Teams!$G15-Teams!$F15+1),0),IF(K$6&lt;=Teams!$H15,Teams!$E15,ROUND(Teams!$E15*(Teams!$I15-K$6+1)/(Teams!$I15-Teams!$H15),0))))</f>
        <v/>
      </c>
      <c r="L17" s="34">
        <f>IF(OR(L$6&lt;Teams!$F15,L$6&gt;Teams!$I15),0,IF(L$6&lt;Teams!$G15,ROUND(Teams!$E15*(L$6-Teams!$F15+1)/(Teams!$G15-Teams!$F15+1),0),IF(L$6&lt;=Teams!$H15,Teams!$E15,ROUND(Teams!$E15*(Teams!$I15-L$6+1)/(Teams!$I15-Teams!$H15),0))))</f>
        <v/>
      </c>
      <c r="M17" s="34">
        <f>IF(OR(M$6&lt;Teams!$F15,M$6&gt;Teams!$I15),0,IF(M$6&lt;Teams!$G15,ROUND(Teams!$E15*(M$6-Teams!$F15+1)/(Teams!$G15-Teams!$F15+1),0),IF(M$6&lt;=Teams!$H15,Teams!$E15,ROUND(Teams!$E15*(Teams!$I15-M$6+1)/(Teams!$I15-Teams!$H15),0))))</f>
        <v/>
      </c>
      <c r="N17" s="34">
        <f>IF(OR(N$6&lt;Teams!$F15,N$6&gt;Teams!$I15),0,IF(N$6&lt;Teams!$G15,ROUND(Teams!$E15*(N$6-Teams!$F15+1)/(Teams!$G15-Teams!$F15+1),0),IF(N$6&lt;=Teams!$H15,Teams!$E15,ROUND(Teams!$E15*(Teams!$I15-N$6+1)/(Teams!$I15-Teams!$H15),0))))</f>
        <v/>
      </c>
      <c r="O17" s="34">
        <f>IF(OR(O$6&lt;Teams!$F15,O$6&gt;Teams!$I15),0,IF(O$6&lt;Teams!$G15,ROUND(Teams!$E15*(O$6-Teams!$F15+1)/(Teams!$G15-Teams!$F15+1),0),IF(O$6&lt;=Teams!$H15,Teams!$E15,ROUND(Teams!$E15*(Teams!$I15-O$6+1)/(Teams!$I15-Teams!$H15),0))))</f>
        <v/>
      </c>
      <c r="P17" s="34">
        <f>IF(OR(P$6&lt;Teams!$F15,P$6&gt;Teams!$I15),0,IF(P$6&lt;Teams!$G15,ROUND(Teams!$E15*(P$6-Teams!$F15+1)/(Teams!$G15-Teams!$F15+1),0),IF(P$6&lt;=Teams!$H15,Teams!$E15,ROUND(Teams!$E15*(Teams!$I15-P$6+1)/(Teams!$I15-Teams!$H15),0))))</f>
        <v/>
      </c>
      <c r="Q17" s="34">
        <f>IF(OR(Q$6&lt;Teams!$F15,Q$6&gt;Teams!$I15),0,IF(Q$6&lt;Teams!$G15,ROUND(Teams!$E15*(Q$6-Teams!$F15+1)/(Teams!$G15-Teams!$F15+1),0),IF(Q$6&lt;=Teams!$H15,Teams!$E15,ROUND(Teams!$E15*(Teams!$I15-Q$6+1)/(Teams!$I15-Teams!$H15),0))))</f>
        <v/>
      </c>
      <c r="R17" s="34">
        <f>IF(OR(R$6&lt;Teams!$F15,R$6&gt;Teams!$I15),0,IF(R$6&lt;Teams!$G15,ROUND(Teams!$E15*(R$6-Teams!$F15+1)/(Teams!$G15-Teams!$F15+1),0),IF(R$6&lt;=Teams!$H15,Teams!$E15,ROUND(Teams!$E15*(Teams!$I15-R$6+1)/(Teams!$I15-Teams!$H15),0))))</f>
        <v/>
      </c>
      <c r="S17" s="34">
        <f>IF(OR(S$6&lt;Teams!$F15,S$6&gt;Teams!$I15),0,IF(S$6&lt;Teams!$G15,ROUND(Teams!$E15*(S$6-Teams!$F15+1)/(Teams!$G15-Teams!$F15+1),0),IF(S$6&lt;=Teams!$H15,Teams!$E15,ROUND(Teams!$E15*(Teams!$I15-S$6+1)/(Teams!$I15-Teams!$H15),0))))</f>
        <v/>
      </c>
      <c r="T17" s="34">
        <f>IF(OR(T$6&lt;Teams!$F15,T$6&gt;Teams!$I15),0,IF(T$6&lt;Teams!$G15,ROUND(Teams!$E15*(T$6-Teams!$F15+1)/(Teams!$G15-Teams!$F15+1),0),IF(T$6&lt;=Teams!$H15,Teams!$E15,ROUND(Teams!$E15*(Teams!$I15-T$6+1)/(Teams!$I15-Teams!$H15),0))))</f>
        <v/>
      </c>
      <c r="U17" s="34">
        <f>IF(OR(U$6&lt;Teams!$F15,U$6&gt;Teams!$I15),0,IF(U$6&lt;Teams!$G15,ROUND(Teams!$E15*(U$6-Teams!$F15+1)/(Teams!$G15-Teams!$F15+1),0),IF(U$6&lt;=Teams!$H15,Teams!$E15,ROUND(Teams!$E15*(Teams!$I15-U$6+1)/(Teams!$I15-Teams!$H15),0))))</f>
        <v/>
      </c>
      <c r="V17" s="34">
        <f>IF(OR(V$6&lt;Teams!$F15,V$6&gt;Teams!$I15),0,IF(V$6&lt;Teams!$G15,ROUND(Teams!$E15*(V$6-Teams!$F15+1)/(Teams!$G15-Teams!$F15+1),0),IF(V$6&lt;=Teams!$H15,Teams!$E15,ROUND(Teams!$E15*(Teams!$I15-V$6+1)/(Teams!$I15-Teams!$H15),0))))</f>
        <v/>
      </c>
      <c r="W17" s="34">
        <f>IF(OR(W$6&lt;Teams!$F15,W$6&gt;Teams!$I15),0,IF(W$6&lt;Teams!$G15,ROUND(Teams!$E15*(W$6-Teams!$F15+1)/(Teams!$G15-Teams!$F15+1),0),IF(W$6&lt;=Teams!$H15,Teams!$E15,ROUND(Teams!$E15*(Teams!$I15-W$6+1)/(Teams!$I15-Teams!$H15),0))))</f>
        <v/>
      </c>
      <c r="X17" s="34">
        <f>IF(OR(X$6&lt;Teams!$F15,X$6&gt;Teams!$I15),0,IF(X$6&lt;Teams!$G15,ROUND(Teams!$E15*(X$6-Teams!$F15+1)/(Teams!$G15-Teams!$F15+1),0),IF(X$6&lt;=Teams!$H15,Teams!$E15,ROUND(Teams!$E15*(Teams!$I15-X$6+1)/(Teams!$I15-Teams!$H15),0))))</f>
        <v/>
      </c>
      <c r="Y17" s="34">
        <f>IF(OR(Y$6&lt;Teams!$F15,Y$6&gt;Teams!$I15),0,IF(Y$6&lt;Teams!$G15,ROUND(Teams!$E15*(Y$6-Teams!$F15+1)/(Teams!$G15-Teams!$F15+1),0),IF(Y$6&lt;=Teams!$H15,Teams!$E15,ROUND(Teams!$E15*(Teams!$I15-Y$6+1)/(Teams!$I15-Teams!$H15),0))))</f>
        <v/>
      </c>
      <c r="Z17" s="34">
        <f>IF(OR(Z$6&lt;Teams!$F15,Z$6&gt;Teams!$I15),0,IF(Z$6&lt;Teams!$G15,ROUND(Teams!$E15*(Z$6-Teams!$F15+1)/(Teams!$G15-Teams!$F15+1),0),IF(Z$6&lt;=Teams!$H15,Teams!$E15,ROUND(Teams!$E15*(Teams!$I15-Z$6+1)/(Teams!$I15-Teams!$H15),0))))</f>
        <v/>
      </c>
      <c r="AA17" s="34">
        <f>IF(OR(AA$6&lt;Teams!$F15,AA$6&gt;Teams!$I15),0,IF(AA$6&lt;Teams!$G15,ROUND(Teams!$E15*(AA$6-Teams!$F15+1)/(Teams!$G15-Teams!$F15+1),0),IF(AA$6&lt;=Teams!$H15,Teams!$E15,ROUND(Teams!$E15*(Teams!$I15-AA$6+1)/(Teams!$I15-Teams!$H15),0))))</f>
        <v/>
      </c>
      <c r="AB17" s="34">
        <f>IF(OR(AB$6&lt;Teams!$F15,AB$6&gt;Teams!$I15),0,IF(AB$6&lt;Teams!$G15,ROUND(Teams!$E15*(AB$6-Teams!$F15+1)/(Teams!$G15-Teams!$F15+1),0),IF(AB$6&lt;=Teams!$H15,Teams!$E15,ROUND(Teams!$E15*(Teams!$I15-AB$6+1)/(Teams!$I15-Teams!$H15),0))))</f>
        <v/>
      </c>
      <c r="AC17" s="34">
        <f>IF(OR(AC$6&lt;Teams!$F15,AC$6&gt;Teams!$I15),0,IF(AC$6&lt;Teams!$G15,ROUND(Teams!$E15*(AC$6-Teams!$F15+1)/(Teams!$G15-Teams!$F15+1),0),IF(AC$6&lt;=Teams!$H15,Teams!$E15,ROUND(Teams!$E15*(Teams!$I15-AC$6+1)/(Teams!$I15-Teams!$H15),0))))</f>
        <v/>
      </c>
      <c r="AD17" s="34">
        <f>IF(OR(AD$6&lt;Teams!$F15,AD$6&gt;Teams!$I15),0,IF(AD$6&lt;Teams!$G15,ROUND(Teams!$E15*(AD$6-Teams!$F15+1)/(Teams!$G15-Teams!$F15+1),0),IF(AD$6&lt;=Teams!$H15,Teams!$E15,ROUND(Teams!$E15*(Teams!$I15-AD$6+1)/(Teams!$I15-Teams!$H15),0))))</f>
        <v/>
      </c>
      <c r="AE17" s="34">
        <f>IF(OR(AE$6&lt;Teams!$F15,AE$6&gt;Teams!$I15),0,IF(AE$6&lt;Teams!$G15,ROUND(Teams!$E15*(AE$6-Teams!$F15+1)/(Teams!$G15-Teams!$F15+1),0),IF(AE$6&lt;=Teams!$H15,Teams!$E15,ROUND(Teams!$E15*(Teams!$I15-AE$6+1)/(Teams!$I15-Teams!$H15),0))))</f>
        <v/>
      </c>
      <c r="AF17" s="34">
        <f>IF(OR(AF$6&lt;Teams!$F15,AF$6&gt;Teams!$I15),0,IF(AF$6&lt;Teams!$G15,ROUND(Teams!$E15*(AF$6-Teams!$F15+1)/(Teams!$G15-Teams!$F15+1),0),IF(AF$6&lt;=Teams!$H15,Teams!$E15,ROUND(Teams!$E15*(Teams!$I15-AF$6+1)/(Teams!$I15-Teams!$H15),0))))</f>
        <v/>
      </c>
      <c r="AG17" s="34">
        <f>IF(OR(AG$6&lt;Teams!$F15,AG$6&gt;Teams!$I15),0,IF(AG$6&lt;Teams!$G15,ROUND(Teams!$E15*(AG$6-Teams!$F15+1)/(Teams!$G15-Teams!$F15+1),0),IF(AG$6&lt;=Teams!$H15,Teams!$E15,ROUND(Teams!$E15*(Teams!$I15-AG$6+1)/(Teams!$I15-Teams!$H15),0))))</f>
        <v/>
      </c>
      <c r="AH17" s="34">
        <f>IF(OR(AH$6&lt;Teams!$F15,AH$6&gt;Teams!$I15),0,IF(AH$6&lt;Teams!$G15,ROUND(Teams!$E15*(AH$6-Teams!$F15+1)/(Teams!$G15-Teams!$F15+1),0),IF(AH$6&lt;=Teams!$H15,Teams!$E15,ROUND(Teams!$E15*(Teams!$I15-AH$6+1)/(Teams!$I15-Teams!$H15),0))))</f>
        <v/>
      </c>
      <c r="AI17" s="34">
        <f>IF(OR(AI$6&lt;Teams!$F15,AI$6&gt;Teams!$I15),0,IF(AI$6&lt;Teams!$G15,ROUND(Teams!$E15*(AI$6-Teams!$F15+1)/(Teams!$G15-Teams!$F15+1),0),IF(AI$6&lt;=Teams!$H15,Teams!$E15,ROUND(Teams!$E15*(Teams!$I15-AI$6+1)/(Teams!$I15-Teams!$H15),0))))</f>
        <v/>
      </c>
      <c r="AJ17" s="34">
        <f>IF(OR(AJ$6&lt;Teams!$F15,AJ$6&gt;Teams!$I15),0,IF(AJ$6&lt;Teams!$G15,ROUND(Teams!$E15*(AJ$6-Teams!$F15+1)/(Teams!$G15-Teams!$F15+1),0),IF(AJ$6&lt;=Teams!$H15,Teams!$E15,ROUND(Teams!$E15*(Teams!$I15-AJ$6+1)/(Teams!$I15-Teams!$H15),0))))</f>
        <v/>
      </c>
      <c r="AK17" s="34">
        <f>IF(OR(AK$6&lt;Teams!$F15,AK$6&gt;Teams!$I15),0,IF(AK$6&lt;Teams!$G15,ROUND(Teams!$E15*(AK$6-Teams!$F15+1)/(Teams!$G15-Teams!$F15+1),0),IF(AK$6&lt;=Teams!$H15,Teams!$E15,ROUND(Teams!$E15*(Teams!$I15-AK$6+1)/(Teams!$I15-Teams!$H15),0))))</f>
        <v/>
      </c>
      <c r="AL17" s="34">
        <f>IF(OR(AL$6&lt;Teams!$F15,AL$6&gt;Teams!$I15),0,IF(AL$6&lt;Teams!$G15,ROUND(Teams!$E15*(AL$6-Teams!$F15+1)/(Teams!$G15-Teams!$F15+1),0),IF(AL$6&lt;=Teams!$H15,Teams!$E15,ROUND(Teams!$E15*(Teams!$I15-AL$6+1)/(Teams!$I15-Teams!$H15),0))))</f>
        <v/>
      </c>
      <c r="AM17" s="34">
        <f>IF(OR(AM$6&lt;Teams!$F15,AM$6&gt;Teams!$I15),0,IF(AM$6&lt;Teams!$G15,ROUND(Teams!$E15*(AM$6-Teams!$F15+1)/(Teams!$G15-Teams!$F15+1),0),IF(AM$6&lt;=Teams!$H15,Teams!$E15,ROUND(Teams!$E15*(Teams!$I15-AM$6+1)/(Teams!$I15-Teams!$H15),0))))</f>
        <v/>
      </c>
      <c r="AN17" s="34">
        <f>IF(OR(AN$6&lt;Teams!$F15,AN$6&gt;Teams!$I15),0,IF(AN$6&lt;Teams!$G15,ROUND(Teams!$E15*(AN$6-Teams!$F15+1)/(Teams!$G15-Teams!$F15+1),0),IF(AN$6&lt;=Teams!$H15,Teams!$E15,ROUND(Teams!$E15*(Teams!$I15-AN$6+1)/(Teams!$I15-Teams!$H15),0))))</f>
        <v/>
      </c>
    </row>
    <row r="18">
      <c r="A18" s="33">
        <f>Teams!A16</f>
        <v/>
      </c>
      <c r="B18" s="33">
        <f>Teams!C16&amp;" — "&amp;Teams!B16</f>
        <v/>
      </c>
      <c r="C18" s="34">
        <f>IF(OR(C$6&lt;Teams!$F16,C$6&gt;Teams!$I16),0,IF(C$6&lt;Teams!$G16,ROUND(Teams!$E16*(C$6-Teams!$F16+1)/(Teams!$G16-Teams!$F16+1),0),IF(C$6&lt;=Teams!$H16,Teams!$E16,ROUND(Teams!$E16*(Teams!$I16-C$6+1)/(Teams!$I16-Teams!$H16),0))))</f>
        <v/>
      </c>
      <c r="D18" s="34">
        <f>IF(OR(D$6&lt;Teams!$F16,D$6&gt;Teams!$I16),0,IF(D$6&lt;Teams!$G16,ROUND(Teams!$E16*(D$6-Teams!$F16+1)/(Teams!$G16-Teams!$F16+1),0),IF(D$6&lt;=Teams!$H16,Teams!$E16,ROUND(Teams!$E16*(Teams!$I16-D$6+1)/(Teams!$I16-Teams!$H16),0))))</f>
        <v/>
      </c>
      <c r="E18" s="34">
        <f>IF(OR(E$6&lt;Teams!$F16,E$6&gt;Teams!$I16),0,IF(E$6&lt;Teams!$G16,ROUND(Teams!$E16*(E$6-Teams!$F16+1)/(Teams!$G16-Teams!$F16+1),0),IF(E$6&lt;=Teams!$H16,Teams!$E16,ROUND(Teams!$E16*(Teams!$I16-E$6+1)/(Teams!$I16-Teams!$H16),0))))</f>
        <v/>
      </c>
      <c r="F18" s="34">
        <f>IF(OR(F$6&lt;Teams!$F16,F$6&gt;Teams!$I16),0,IF(F$6&lt;Teams!$G16,ROUND(Teams!$E16*(F$6-Teams!$F16+1)/(Teams!$G16-Teams!$F16+1),0),IF(F$6&lt;=Teams!$H16,Teams!$E16,ROUND(Teams!$E16*(Teams!$I16-F$6+1)/(Teams!$I16-Teams!$H16),0))))</f>
        <v/>
      </c>
      <c r="G18" s="34">
        <f>IF(OR(G$6&lt;Teams!$F16,G$6&gt;Teams!$I16),0,IF(G$6&lt;Teams!$G16,ROUND(Teams!$E16*(G$6-Teams!$F16+1)/(Teams!$G16-Teams!$F16+1),0),IF(G$6&lt;=Teams!$H16,Teams!$E16,ROUND(Teams!$E16*(Teams!$I16-G$6+1)/(Teams!$I16-Teams!$H16),0))))</f>
        <v/>
      </c>
      <c r="H18" s="34">
        <f>IF(OR(H$6&lt;Teams!$F16,H$6&gt;Teams!$I16),0,IF(H$6&lt;Teams!$G16,ROUND(Teams!$E16*(H$6-Teams!$F16+1)/(Teams!$G16-Teams!$F16+1),0),IF(H$6&lt;=Teams!$H16,Teams!$E16,ROUND(Teams!$E16*(Teams!$I16-H$6+1)/(Teams!$I16-Teams!$H16),0))))</f>
        <v/>
      </c>
      <c r="I18" s="34">
        <f>IF(OR(I$6&lt;Teams!$F16,I$6&gt;Teams!$I16),0,IF(I$6&lt;Teams!$G16,ROUND(Teams!$E16*(I$6-Teams!$F16+1)/(Teams!$G16-Teams!$F16+1),0),IF(I$6&lt;=Teams!$H16,Teams!$E16,ROUND(Teams!$E16*(Teams!$I16-I$6+1)/(Teams!$I16-Teams!$H16),0))))</f>
        <v/>
      </c>
      <c r="J18" s="34">
        <f>IF(OR(J$6&lt;Teams!$F16,J$6&gt;Teams!$I16),0,IF(J$6&lt;Teams!$G16,ROUND(Teams!$E16*(J$6-Teams!$F16+1)/(Teams!$G16-Teams!$F16+1),0),IF(J$6&lt;=Teams!$H16,Teams!$E16,ROUND(Teams!$E16*(Teams!$I16-J$6+1)/(Teams!$I16-Teams!$H16),0))))</f>
        <v/>
      </c>
      <c r="K18" s="34">
        <f>IF(OR(K$6&lt;Teams!$F16,K$6&gt;Teams!$I16),0,IF(K$6&lt;Teams!$G16,ROUND(Teams!$E16*(K$6-Teams!$F16+1)/(Teams!$G16-Teams!$F16+1),0),IF(K$6&lt;=Teams!$H16,Teams!$E16,ROUND(Teams!$E16*(Teams!$I16-K$6+1)/(Teams!$I16-Teams!$H16),0))))</f>
        <v/>
      </c>
      <c r="L18" s="34">
        <f>IF(OR(L$6&lt;Teams!$F16,L$6&gt;Teams!$I16),0,IF(L$6&lt;Teams!$G16,ROUND(Teams!$E16*(L$6-Teams!$F16+1)/(Teams!$G16-Teams!$F16+1),0),IF(L$6&lt;=Teams!$H16,Teams!$E16,ROUND(Teams!$E16*(Teams!$I16-L$6+1)/(Teams!$I16-Teams!$H16),0))))</f>
        <v/>
      </c>
      <c r="M18" s="34">
        <f>IF(OR(M$6&lt;Teams!$F16,M$6&gt;Teams!$I16),0,IF(M$6&lt;Teams!$G16,ROUND(Teams!$E16*(M$6-Teams!$F16+1)/(Teams!$G16-Teams!$F16+1),0),IF(M$6&lt;=Teams!$H16,Teams!$E16,ROUND(Teams!$E16*(Teams!$I16-M$6+1)/(Teams!$I16-Teams!$H16),0))))</f>
        <v/>
      </c>
      <c r="N18" s="34">
        <f>IF(OR(N$6&lt;Teams!$F16,N$6&gt;Teams!$I16),0,IF(N$6&lt;Teams!$G16,ROUND(Teams!$E16*(N$6-Teams!$F16+1)/(Teams!$G16-Teams!$F16+1),0),IF(N$6&lt;=Teams!$H16,Teams!$E16,ROUND(Teams!$E16*(Teams!$I16-N$6+1)/(Teams!$I16-Teams!$H16),0))))</f>
        <v/>
      </c>
      <c r="O18" s="34">
        <f>IF(OR(O$6&lt;Teams!$F16,O$6&gt;Teams!$I16),0,IF(O$6&lt;Teams!$G16,ROUND(Teams!$E16*(O$6-Teams!$F16+1)/(Teams!$G16-Teams!$F16+1),0),IF(O$6&lt;=Teams!$H16,Teams!$E16,ROUND(Teams!$E16*(Teams!$I16-O$6+1)/(Teams!$I16-Teams!$H16),0))))</f>
        <v/>
      </c>
      <c r="P18" s="34">
        <f>IF(OR(P$6&lt;Teams!$F16,P$6&gt;Teams!$I16),0,IF(P$6&lt;Teams!$G16,ROUND(Teams!$E16*(P$6-Teams!$F16+1)/(Teams!$G16-Teams!$F16+1),0),IF(P$6&lt;=Teams!$H16,Teams!$E16,ROUND(Teams!$E16*(Teams!$I16-P$6+1)/(Teams!$I16-Teams!$H16),0))))</f>
        <v/>
      </c>
      <c r="Q18" s="34">
        <f>IF(OR(Q$6&lt;Teams!$F16,Q$6&gt;Teams!$I16),0,IF(Q$6&lt;Teams!$G16,ROUND(Teams!$E16*(Q$6-Teams!$F16+1)/(Teams!$G16-Teams!$F16+1),0),IF(Q$6&lt;=Teams!$H16,Teams!$E16,ROUND(Teams!$E16*(Teams!$I16-Q$6+1)/(Teams!$I16-Teams!$H16),0))))</f>
        <v/>
      </c>
      <c r="R18" s="34">
        <f>IF(OR(R$6&lt;Teams!$F16,R$6&gt;Teams!$I16),0,IF(R$6&lt;Teams!$G16,ROUND(Teams!$E16*(R$6-Teams!$F16+1)/(Teams!$G16-Teams!$F16+1),0),IF(R$6&lt;=Teams!$H16,Teams!$E16,ROUND(Teams!$E16*(Teams!$I16-R$6+1)/(Teams!$I16-Teams!$H16),0))))</f>
        <v/>
      </c>
      <c r="S18" s="34">
        <f>IF(OR(S$6&lt;Teams!$F16,S$6&gt;Teams!$I16),0,IF(S$6&lt;Teams!$G16,ROUND(Teams!$E16*(S$6-Teams!$F16+1)/(Teams!$G16-Teams!$F16+1),0),IF(S$6&lt;=Teams!$H16,Teams!$E16,ROUND(Teams!$E16*(Teams!$I16-S$6+1)/(Teams!$I16-Teams!$H16),0))))</f>
        <v/>
      </c>
      <c r="T18" s="34">
        <f>IF(OR(T$6&lt;Teams!$F16,T$6&gt;Teams!$I16),0,IF(T$6&lt;Teams!$G16,ROUND(Teams!$E16*(T$6-Teams!$F16+1)/(Teams!$G16-Teams!$F16+1),0),IF(T$6&lt;=Teams!$H16,Teams!$E16,ROUND(Teams!$E16*(Teams!$I16-T$6+1)/(Teams!$I16-Teams!$H16),0))))</f>
        <v/>
      </c>
      <c r="U18" s="34">
        <f>IF(OR(U$6&lt;Teams!$F16,U$6&gt;Teams!$I16),0,IF(U$6&lt;Teams!$G16,ROUND(Teams!$E16*(U$6-Teams!$F16+1)/(Teams!$G16-Teams!$F16+1),0),IF(U$6&lt;=Teams!$H16,Teams!$E16,ROUND(Teams!$E16*(Teams!$I16-U$6+1)/(Teams!$I16-Teams!$H16),0))))</f>
        <v/>
      </c>
      <c r="V18" s="34">
        <f>IF(OR(V$6&lt;Teams!$F16,V$6&gt;Teams!$I16),0,IF(V$6&lt;Teams!$G16,ROUND(Teams!$E16*(V$6-Teams!$F16+1)/(Teams!$G16-Teams!$F16+1),0),IF(V$6&lt;=Teams!$H16,Teams!$E16,ROUND(Teams!$E16*(Teams!$I16-V$6+1)/(Teams!$I16-Teams!$H16),0))))</f>
        <v/>
      </c>
      <c r="W18" s="34">
        <f>IF(OR(W$6&lt;Teams!$F16,W$6&gt;Teams!$I16),0,IF(W$6&lt;Teams!$G16,ROUND(Teams!$E16*(W$6-Teams!$F16+1)/(Teams!$G16-Teams!$F16+1),0),IF(W$6&lt;=Teams!$H16,Teams!$E16,ROUND(Teams!$E16*(Teams!$I16-W$6+1)/(Teams!$I16-Teams!$H16),0))))</f>
        <v/>
      </c>
      <c r="X18" s="34">
        <f>IF(OR(X$6&lt;Teams!$F16,X$6&gt;Teams!$I16),0,IF(X$6&lt;Teams!$G16,ROUND(Teams!$E16*(X$6-Teams!$F16+1)/(Teams!$G16-Teams!$F16+1),0),IF(X$6&lt;=Teams!$H16,Teams!$E16,ROUND(Teams!$E16*(Teams!$I16-X$6+1)/(Teams!$I16-Teams!$H16),0))))</f>
        <v/>
      </c>
      <c r="Y18" s="34">
        <f>IF(OR(Y$6&lt;Teams!$F16,Y$6&gt;Teams!$I16),0,IF(Y$6&lt;Teams!$G16,ROUND(Teams!$E16*(Y$6-Teams!$F16+1)/(Teams!$G16-Teams!$F16+1),0),IF(Y$6&lt;=Teams!$H16,Teams!$E16,ROUND(Teams!$E16*(Teams!$I16-Y$6+1)/(Teams!$I16-Teams!$H16),0))))</f>
        <v/>
      </c>
      <c r="Z18" s="34">
        <f>IF(OR(Z$6&lt;Teams!$F16,Z$6&gt;Teams!$I16),0,IF(Z$6&lt;Teams!$G16,ROUND(Teams!$E16*(Z$6-Teams!$F16+1)/(Teams!$G16-Teams!$F16+1),0),IF(Z$6&lt;=Teams!$H16,Teams!$E16,ROUND(Teams!$E16*(Teams!$I16-Z$6+1)/(Teams!$I16-Teams!$H16),0))))</f>
        <v/>
      </c>
      <c r="AA18" s="34">
        <f>IF(OR(AA$6&lt;Teams!$F16,AA$6&gt;Teams!$I16),0,IF(AA$6&lt;Teams!$G16,ROUND(Teams!$E16*(AA$6-Teams!$F16+1)/(Teams!$G16-Teams!$F16+1),0),IF(AA$6&lt;=Teams!$H16,Teams!$E16,ROUND(Teams!$E16*(Teams!$I16-AA$6+1)/(Teams!$I16-Teams!$H16),0))))</f>
        <v/>
      </c>
      <c r="AB18" s="34">
        <f>IF(OR(AB$6&lt;Teams!$F16,AB$6&gt;Teams!$I16),0,IF(AB$6&lt;Teams!$G16,ROUND(Teams!$E16*(AB$6-Teams!$F16+1)/(Teams!$G16-Teams!$F16+1),0),IF(AB$6&lt;=Teams!$H16,Teams!$E16,ROUND(Teams!$E16*(Teams!$I16-AB$6+1)/(Teams!$I16-Teams!$H16),0))))</f>
        <v/>
      </c>
      <c r="AC18" s="34">
        <f>IF(OR(AC$6&lt;Teams!$F16,AC$6&gt;Teams!$I16),0,IF(AC$6&lt;Teams!$G16,ROUND(Teams!$E16*(AC$6-Teams!$F16+1)/(Teams!$G16-Teams!$F16+1),0),IF(AC$6&lt;=Teams!$H16,Teams!$E16,ROUND(Teams!$E16*(Teams!$I16-AC$6+1)/(Teams!$I16-Teams!$H16),0))))</f>
        <v/>
      </c>
      <c r="AD18" s="34">
        <f>IF(OR(AD$6&lt;Teams!$F16,AD$6&gt;Teams!$I16),0,IF(AD$6&lt;Teams!$G16,ROUND(Teams!$E16*(AD$6-Teams!$F16+1)/(Teams!$G16-Teams!$F16+1),0),IF(AD$6&lt;=Teams!$H16,Teams!$E16,ROUND(Teams!$E16*(Teams!$I16-AD$6+1)/(Teams!$I16-Teams!$H16),0))))</f>
        <v/>
      </c>
      <c r="AE18" s="34">
        <f>IF(OR(AE$6&lt;Teams!$F16,AE$6&gt;Teams!$I16),0,IF(AE$6&lt;Teams!$G16,ROUND(Teams!$E16*(AE$6-Teams!$F16+1)/(Teams!$G16-Teams!$F16+1),0),IF(AE$6&lt;=Teams!$H16,Teams!$E16,ROUND(Teams!$E16*(Teams!$I16-AE$6+1)/(Teams!$I16-Teams!$H16),0))))</f>
        <v/>
      </c>
      <c r="AF18" s="34">
        <f>IF(OR(AF$6&lt;Teams!$F16,AF$6&gt;Teams!$I16),0,IF(AF$6&lt;Teams!$G16,ROUND(Teams!$E16*(AF$6-Teams!$F16+1)/(Teams!$G16-Teams!$F16+1),0),IF(AF$6&lt;=Teams!$H16,Teams!$E16,ROUND(Teams!$E16*(Teams!$I16-AF$6+1)/(Teams!$I16-Teams!$H16),0))))</f>
        <v/>
      </c>
      <c r="AG18" s="34">
        <f>IF(OR(AG$6&lt;Teams!$F16,AG$6&gt;Teams!$I16),0,IF(AG$6&lt;Teams!$G16,ROUND(Teams!$E16*(AG$6-Teams!$F16+1)/(Teams!$G16-Teams!$F16+1),0),IF(AG$6&lt;=Teams!$H16,Teams!$E16,ROUND(Teams!$E16*(Teams!$I16-AG$6+1)/(Teams!$I16-Teams!$H16),0))))</f>
        <v/>
      </c>
      <c r="AH18" s="34">
        <f>IF(OR(AH$6&lt;Teams!$F16,AH$6&gt;Teams!$I16),0,IF(AH$6&lt;Teams!$G16,ROUND(Teams!$E16*(AH$6-Teams!$F16+1)/(Teams!$G16-Teams!$F16+1),0),IF(AH$6&lt;=Teams!$H16,Teams!$E16,ROUND(Teams!$E16*(Teams!$I16-AH$6+1)/(Teams!$I16-Teams!$H16),0))))</f>
        <v/>
      </c>
      <c r="AI18" s="34">
        <f>IF(OR(AI$6&lt;Teams!$F16,AI$6&gt;Teams!$I16),0,IF(AI$6&lt;Teams!$G16,ROUND(Teams!$E16*(AI$6-Teams!$F16+1)/(Teams!$G16-Teams!$F16+1),0),IF(AI$6&lt;=Teams!$H16,Teams!$E16,ROUND(Teams!$E16*(Teams!$I16-AI$6+1)/(Teams!$I16-Teams!$H16),0))))</f>
        <v/>
      </c>
      <c r="AJ18" s="34">
        <f>IF(OR(AJ$6&lt;Teams!$F16,AJ$6&gt;Teams!$I16),0,IF(AJ$6&lt;Teams!$G16,ROUND(Teams!$E16*(AJ$6-Teams!$F16+1)/(Teams!$G16-Teams!$F16+1),0),IF(AJ$6&lt;=Teams!$H16,Teams!$E16,ROUND(Teams!$E16*(Teams!$I16-AJ$6+1)/(Teams!$I16-Teams!$H16),0))))</f>
        <v/>
      </c>
      <c r="AK18" s="34">
        <f>IF(OR(AK$6&lt;Teams!$F16,AK$6&gt;Teams!$I16),0,IF(AK$6&lt;Teams!$G16,ROUND(Teams!$E16*(AK$6-Teams!$F16+1)/(Teams!$G16-Teams!$F16+1),0),IF(AK$6&lt;=Teams!$H16,Teams!$E16,ROUND(Teams!$E16*(Teams!$I16-AK$6+1)/(Teams!$I16-Teams!$H16),0))))</f>
        <v/>
      </c>
      <c r="AL18" s="34">
        <f>IF(OR(AL$6&lt;Teams!$F16,AL$6&gt;Teams!$I16),0,IF(AL$6&lt;Teams!$G16,ROUND(Teams!$E16*(AL$6-Teams!$F16+1)/(Teams!$G16-Teams!$F16+1),0),IF(AL$6&lt;=Teams!$H16,Teams!$E16,ROUND(Teams!$E16*(Teams!$I16-AL$6+1)/(Teams!$I16-Teams!$H16),0))))</f>
        <v/>
      </c>
      <c r="AM18" s="34">
        <f>IF(OR(AM$6&lt;Teams!$F16,AM$6&gt;Teams!$I16),0,IF(AM$6&lt;Teams!$G16,ROUND(Teams!$E16*(AM$6-Teams!$F16+1)/(Teams!$G16-Teams!$F16+1),0),IF(AM$6&lt;=Teams!$H16,Teams!$E16,ROUND(Teams!$E16*(Teams!$I16-AM$6+1)/(Teams!$I16-Teams!$H16),0))))</f>
        <v/>
      </c>
      <c r="AN18" s="34">
        <f>IF(OR(AN$6&lt;Teams!$F16,AN$6&gt;Teams!$I16),0,IF(AN$6&lt;Teams!$G16,ROUND(Teams!$E16*(AN$6-Teams!$F16+1)/(Teams!$G16-Teams!$F16+1),0),IF(AN$6&lt;=Teams!$H16,Teams!$E16,ROUND(Teams!$E16*(Teams!$I16-AN$6+1)/(Teams!$I16-Teams!$H16),0))))</f>
        <v/>
      </c>
    </row>
    <row r="19">
      <c r="A19" s="33">
        <f>Teams!A17</f>
        <v/>
      </c>
      <c r="B19" s="33">
        <f>Teams!C17&amp;" — "&amp;Teams!B17</f>
        <v/>
      </c>
      <c r="C19" s="34">
        <f>IF(OR(C$6&lt;Teams!$F17,C$6&gt;Teams!$I17),0,IF(C$6&lt;Teams!$G17,ROUND(Teams!$E17*(C$6-Teams!$F17+1)/(Teams!$G17-Teams!$F17+1),0),IF(C$6&lt;=Teams!$H17,Teams!$E17,ROUND(Teams!$E17*(Teams!$I17-C$6+1)/(Teams!$I17-Teams!$H17),0))))</f>
        <v/>
      </c>
      <c r="D19" s="34">
        <f>IF(OR(D$6&lt;Teams!$F17,D$6&gt;Teams!$I17),0,IF(D$6&lt;Teams!$G17,ROUND(Teams!$E17*(D$6-Teams!$F17+1)/(Teams!$G17-Teams!$F17+1),0),IF(D$6&lt;=Teams!$H17,Teams!$E17,ROUND(Teams!$E17*(Teams!$I17-D$6+1)/(Teams!$I17-Teams!$H17),0))))</f>
        <v/>
      </c>
      <c r="E19" s="34">
        <f>IF(OR(E$6&lt;Teams!$F17,E$6&gt;Teams!$I17),0,IF(E$6&lt;Teams!$G17,ROUND(Teams!$E17*(E$6-Teams!$F17+1)/(Teams!$G17-Teams!$F17+1),0),IF(E$6&lt;=Teams!$H17,Teams!$E17,ROUND(Teams!$E17*(Teams!$I17-E$6+1)/(Teams!$I17-Teams!$H17),0))))</f>
        <v/>
      </c>
      <c r="F19" s="34">
        <f>IF(OR(F$6&lt;Teams!$F17,F$6&gt;Teams!$I17),0,IF(F$6&lt;Teams!$G17,ROUND(Teams!$E17*(F$6-Teams!$F17+1)/(Teams!$G17-Teams!$F17+1),0),IF(F$6&lt;=Teams!$H17,Teams!$E17,ROUND(Teams!$E17*(Teams!$I17-F$6+1)/(Teams!$I17-Teams!$H17),0))))</f>
        <v/>
      </c>
      <c r="G19" s="34">
        <f>IF(OR(G$6&lt;Teams!$F17,G$6&gt;Teams!$I17),0,IF(G$6&lt;Teams!$G17,ROUND(Teams!$E17*(G$6-Teams!$F17+1)/(Teams!$G17-Teams!$F17+1),0),IF(G$6&lt;=Teams!$H17,Teams!$E17,ROUND(Teams!$E17*(Teams!$I17-G$6+1)/(Teams!$I17-Teams!$H17),0))))</f>
        <v/>
      </c>
      <c r="H19" s="34">
        <f>IF(OR(H$6&lt;Teams!$F17,H$6&gt;Teams!$I17),0,IF(H$6&lt;Teams!$G17,ROUND(Teams!$E17*(H$6-Teams!$F17+1)/(Teams!$G17-Teams!$F17+1),0),IF(H$6&lt;=Teams!$H17,Teams!$E17,ROUND(Teams!$E17*(Teams!$I17-H$6+1)/(Teams!$I17-Teams!$H17),0))))</f>
        <v/>
      </c>
      <c r="I19" s="34">
        <f>IF(OR(I$6&lt;Teams!$F17,I$6&gt;Teams!$I17),0,IF(I$6&lt;Teams!$G17,ROUND(Teams!$E17*(I$6-Teams!$F17+1)/(Teams!$G17-Teams!$F17+1),0),IF(I$6&lt;=Teams!$H17,Teams!$E17,ROUND(Teams!$E17*(Teams!$I17-I$6+1)/(Teams!$I17-Teams!$H17),0))))</f>
        <v/>
      </c>
      <c r="J19" s="34">
        <f>IF(OR(J$6&lt;Teams!$F17,J$6&gt;Teams!$I17),0,IF(J$6&lt;Teams!$G17,ROUND(Teams!$E17*(J$6-Teams!$F17+1)/(Teams!$G17-Teams!$F17+1),0),IF(J$6&lt;=Teams!$H17,Teams!$E17,ROUND(Teams!$E17*(Teams!$I17-J$6+1)/(Teams!$I17-Teams!$H17),0))))</f>
        <v/>
      </c>
      <c r="K19" s="34">
        <f>IF(OR(K$6&lt;Teams!$F17,K$6&gt;Teams!$I17),0,IF(K$6&lt;Teams!$G17,ROUND(Teams!$E17*(K$6-Teams!$F17+1)/(Teams!$G17-Teams!$F17+1),0),IF(K$6&lt;=Teams!$H17,Teams!$E17,ROUND(Teams!$E17*(Teams!$I17-K$6+1)/(Teams!$I17-Teams!$H17),0))))</f>
        <v/>
      </c>
      <c r="L19" s="34">
        <f>IF(OR(L$6&lt;Teams!$F17,L$6&gt;Teams!$I17),0,IF(L$6&lt;Teams!$G17,ROUND(Teams!$E17*(L$6-Teams!$F17+1)/(Teams!$G17-Teams!$F17+1),0),IF(L$6&lt;=Teams!$H17,Teams!$E17,ROUND(Teams!$E17*(Teams!$I17-L$6+1)/(Teams!$I17-Teams!$H17),0))))</f>
        <v/>
      </c>
      <c r="M19" s="34">
        <f>IF(OR(M$6&lt;Teams!$F17,M$6&gt;Teams!$I17),0,IF(M$6&lt;Teams!$G17,ROUND(Teams!$E17*(M$6-Teams!$F17+1)/(Teams!$G17-Teams!$F17+1),0),IF(M$6&lt;=Teams!$H17,Teams!$E17,ROUND(Teams!$E17*(Teams!$I17-M$6+1)/(Teams!$I17-Teams!$H17),0))))</f>
        <v/>
      </c>
      <c r="N19" s="34">
        <f>IF(OR(N$6&lt;Teams!$F17,N$6&gt;Teams!$I17),0,IF(N$6&lt;Teams!$G17,ROUND(Teams!$E17*(N$6-Teams!$F17+1)/(Teams!$G17-Teams!$F17+1),0),IF(N$6&lt;=Teams!$H17,Teams!$E17,ROUND(Teams!$E17*(Teams!$I17-N$6+1)/(Teams!$I17-Teams!$H17),0))))</f>
        <v/>
      </c>
      <c r="O19" s="34">
        <f>IF(OR(O$6&lt;Teams!$F17,O$6&gt;Teams!$I17),0,IF(O$6&lt;Teams!$G17,ROUND(Teams!$E17*(O$6-Teams!$F17+1)/(Teams!$G17-Teams!$F17+1),0),IF(O$6&lt;=Teams!$H17,Teams!$E17,ROUND(Teams!$E17*(Teams!$I17-O$6+1)/(Teams!$I17-Teams!$H17),0))))</f>
        <v/>
      </c>
      <c r="P19" s="34">
        <f>IF(OR(P$6&lt;Teams!$F17,P$6&gt;Teams!$I17),0,IF(P$6&lt;Teams!$G17,ROUND(Teams!$E17*(P$6-Teams!$F17+1)/(Teams!$G17-Teams!$F17+1),0),IF(P$6&lt;=Teams!$H17,Teams!$E17,ROUND(Teams!$E17*(Teams!$I17-P$6+1)/(Teams!$I17-Teams!$H17),0))))</f>
        <v/>
      </c>
      <c r="Q19" s="34">
        <f>IF(OR(Q$6&lt;Teams!$F17,Q$6&gt;Teams!$I17),0,IF(Q$6&lt;Teams!$G17,ROUND(Teams!$E17*(Q$6-Teams!$F17+1)/(Teams!$G17-Teams!$F17+1),0),IF(Q$6&lt;=Teams!$H17,Teams!$E17,ROUND(Teams!$E17*(Teams!$I17-Q$6+1)/(Teams!$I17-Teams!$H17),0))))</f>
        <v/>
      </c>
      <c r="R19" s="34">
        <f>IF(OR(R$6&lt;Teams!$F17,R$6&gt;Teams!$I17),0,IF(R$6&lt;Teams!$G17,ROUND(Teams!$E17*(R$6-Teams!$F17+1)/(Teams!$G17-Teams!$F17+1),0),IF(R$6&lt;=Teams!$H17,Teams!$E17,ROUND(Teams!$E17*(Teams!$I17-R$6+1)/(Teams!$I17-Teams!$H17),0))))</f>
        <v/>
      </c>
      <c r="S19" s="34">
        <f>IF(OR(S$6&lt;Teams!$F17,S$6&gt;Teams!$I17),0,IF(S$6&lt;Teams!$G17,ROUND(Teams!$E17*(S$6-Teams!$F17+1)/(Teams!$G17-Teams!$F17+1),0),IF(S$6&lt;=Teams!$H17,Teams!$E17,ROUND(Teams!$E17*(Teams!$I17-S$6+1)/(Teams!$I17-Teams!$H17),0))))</f>
        <v/>
      </c>
      <c r="T19" s="34">
        <f>IF(OR(T$6&lt;Teams!$F17,T$6&gt;Teams!$I17),0,IF(T$6&lt;Teams!$G17,ROUND(Teams!$E17*(T$6-Teams!$F17+1)/(Teams!$G17-Teams!$F17+1),0),IF(T$6&lt;=Teams!$H17,Teams!$E17,ROUND(Teams!$E17*(Teams!$I17-T$6+1)/(Teams!$I17-Teams!$H17),0))))</f>
        <v/>
      </c>
      <c r="U19" s="34">
        <f>IF(OR(U$6&lt;Teams!$F17,U$6&gt;Teams!$I17),0,IF(U$6&lt;Teams!$G17,ROUND(Teams!$E17*(U$6-Teams!$F17+1)/(Teams!$G17-Teams!$F17+1),0),IF(U$6&lt;=Teams!$H17,Teams!$E17,ROUND(Teams!$E17*(Teams!$I17-U$6+1)/(Teams!$I17-Teams!$H17),0))))</f>
        <v/>
      </c>
      <c r="V19" s="34">
        <f>IF(OR(V$6&lt;Teams!$F17,V$6&gt;Teams!$I17),0,IF(V$6&lt;Teams!$G17,ROUND(Teams!$E17*(V$6-Teams!$F17+1)/(Teams!$G17-Teams!$F17+1),0),IF(V$6&lt;=Teams!$H17,Teams!$E17,ROUND(Teams!$E17*(Teams!$I17-V$6+1)/(Teams!$I17-Teams!$H17),0))))</f>
        <v/>
      </c>
      <c r="W19" s="34">
        <f>IF(OR(W$6&lt;Teams!$F17,W$6&gt;Teams!$I17),0,IF(W$6&lt;Teams!$G17,ROUND(Teams!$E17*(W$6-Teams!$F17+1)/(Teams!$G17-Teams!$F17+1),0),IF(W$6&lt;=Teams!$H17,Teams!$E17,ROUND(Teams!$E17*(Teams!$I17-W$6+1)/(Teams!$I17-Teams!$H17),0))))</f>
        <v/>
      </c>
      <c r="X19" s="34">
        <f>IF(OR(X$6&lt;Teams!$F17,X$6&gt;Teams!$I17),0,IF(X$6&lt;Teams!$G17,ROUND(Teams!$E17*(X$6-Teams!$F17+1)/(Teams!$G17-Teams!$F17+1),0),IF(X$6&lt;=Teams!$H17,Teams!$E17,ROUND(Teams!$E17*(Teams!$I17-X$6+1)/(Teams!$I17-Teams!$H17),0))))</f>
        <v/>
      </c>
      <c r="Y19" s="34">
        <f>IF(OR(Y$6&lt;Teams!$F17,Y$6&gt;Teams!$I17),0,IF(Y$6&lt;Teams!$G17,ROUND(Teams!$E17*(Y$6-Teams!$F17+1)/(Teams!$G17-Teams!$F17+1),0),IF(Y$6&lt;=Teams!$H17,Teams!$E17,ROUND(Teams!$E17*(Teams!$I17-Y$6+1)/(Teams!$I17-Teams!$H17),0))))</f>
        <v/>
      </c>
      <c r="Z19" s="34">
        <f>IF(OR(Z$6&lt;Teams!$F17,Z$6&gt;Teams!$I17),0,IF(Z$6&lt;Teams!$G17,ROUND(Teams!$E17*(Z$6-Teams!$F17+1)/(Teams!$G17-Teams!$F17+1),0),IF(Z$6&lt;=Teams!$H17,Teams!$E17,ROUND(Teams!$E17*(Teams!$I17-Z$6+1)/(Teams!$I17-Teams!$H17),0))))</f>
        <v/>
      </c>
      <c r="AA19" s="34">
        <f>IF(OR(AA$6&lt;Teams!$F17,AA$6&gt;Teams!$I17),0,IF(AA$6&lt;Teams!$G17,ROUND(Teams!$E17*(AA$6-Teams!$F17+1)/(Teams!$G17-Teams!$F17+1),0),IF(AA$6&lt;=Teams!$H17,Teams!$E17,ROUND(Teams!$E17*(Teams!$I17-AA$6+1)/(Teams!$I17-Teams!$H17),0))))</f>
        <v/>
      </c>
      <c r="AB19" s="34">
        <f>IF(OR(AB$6&lt;Teams!$F17,AB$6&gt;Teams!$I17),0,IF(AB$6&lt;Teams!$G17,ROUND(Teams!$E17*(AB$6-Teams!$F17+1)/(Teams!$G17-Teams!$F17+1),0),IF(AB$6&lt;=Teams!$H17,Teams!$E17,ROUND(Teams!$E17*(Teams!$I17-AB$6+1)/(Teams!$I17-Teams!$H17),0))))</f>
        <v/>
      </c>
      <c r="AC19" s="34">
        <f>IF(OR(AC$6&lt;Teams!$F17,AC$6&gt;Teams!$I17),0,IF(AC$6&lt;Teams!$G17,ROUND(Teams!$E17*(AC$6-Teams!$F17+1)/(Teams!$G17-Teams!$F17+1),0),IF(AC$6&lt;=Teams!$H17,Teams!$E17,ROUND(Teams!$E17*(Teams!$I17-AC$6+1)/(Teams!$I17-Teams!$H17),0))))</f>
        <v/>
      </c>
      <c r="AD19" s="34">
        <f>IF(OR(AD$6&lt;Teams!$F17,AD$6&gt;Teams!$I17),0,IF(AD$6&lt;Teams!$G17,ROUND(Teams!$E17*(AD$6-Teams!$F17+1)/(Teams!$G17-Teams!$F17+1),0),IF(AD$6&lt;=Teams!$H17,Teams!$E17,ROUND(Teams!$E17*(Teams!$I17-AD$6+1)/(Teams!$I17-Teams!$H17),0))))</f>
        <v/>
      </c>
      <c r="AE19" s="34">
        <f>IF(OR(AE$6&lt;Teams!$F17,AE$6&gt;Teams!$I17),0,IF(AE$6&lt;Teams!$G17,ROUND(Teams!$E17*(AE$6-Teams!$F17+1)/(Teams!$G17-Teams!$F17+1),0),IF(AE$6&lt;=Teams!$H17,Teams!$E17,ROUND(Teams!$E17*(Teams!$I17-AE$6+1)/(Teams!$I17-Teams!$H17),0))))</f>
        <v/>
      </c>
      <c r="AF19" s="34">
        <f>IF(OR(AF$6&lt;Teams!$F17,AF$6&gt;Teams!$I17),0,IF(AF$6&lt;Teams!$G17,ROUND(Teams!$E17*(AF$6-Teams!$F17+1)/(Teams!$G17-Teams!$F17+1),0),IF(AF$6&lt;=Teams!$H17,Teams!$E17,ROUND(Teams!$E17*(Teams!$I17-AF$6+1)/(Teams!$I17-Teams!$H17),0))))</f>
        <v/>
      </c>
      <c r="AG19" s="34">
        <f>IF(OR(AG$6&lt;Teams!$F17,AG$6&gt;Teams!$I17),0,IF(AG$6&lt;Teams!$G17,ROUND(Teams!$E17*(AG$6-Teams!$F17+1)/(Teams!$G17-Teams!$F17+1),0),IF(AG$6&lt;=Teams!$H17,Teams!$E17,ROUND(Teams!$E17*(Teams!$I17-AG$6+1)/(Teams!$I17-Teams!$H17),0))))</f>
        <v/>
      </c>
      <c r="AH19" s="34">
        <f>IF(OR(AH$6&lt;Teams!$F17,AH$6&gt;Teams!$I17),0,IF(AH$6&lt;Teams!$G17,ROUND(Teams!$E17*(AH$6-Teams!$F17+1)/(Teams!$G17-Teams!$F17+1),0),IF(AH$6&lt;=Teams!$H17,Teams!$E17,ROUND(Teams!$E17*(Teams!$I17-AH$6+1)/(Teams!$I17-Teams!$H17),0))))</f>
        <v/>
      </c>
      <c r="AI19" s="34">
        <f>IF(OR(AI$6&lt;Teams!$F17,AI$6&gt;Teams!$I17),0,IF(AI$6&lt;Teams!$G17,ROUND(Teams!$E17*(AI$6-Teams!$F17+1)/(Teams!$G17-Teams!$F17+1),0),IF(AI$6&lt;=Teams!$H17,Teams!$E17,ROUND(Teams!$E17*(Teams!$I17-AI$6+1)/(Teams!$I17-Teams!$H17),0))))</f>
        <v/>
      </c>
      <c r="AJ19" s="34">
        <f>IF(OR(AJ$6&lt;Teams!$F17,AJ$6&gt;Teams!$I17),0,IF(AJ$6&lt;Teams!$G17,ROUND(Teams!$E17*(AJ$6-Teams!$F17+1)/(Teams!$G17-Teams!$F17+1),0),IF(AJ$6&lt;=Teams!$H17,Teams!$E17,ROUND(Teams!$E17*(Teams!$I17-AJ$6+1)/(Teams!$I17-Teams!$H17),0))))</f>
        <v/>
      </c>
      <c r="AK19" s="34">
        <f>IF(OR(AK$6&lt;Teams!$F17,AK$6&gt;Teams!$I17),0,IF(AK$6&lt;Teams!$G17,ROUND(Teams!$E17*(AK$6-Teams!$F17+1)/(Teams!$G17-Teams!$F17+1),0),IF(AK$6&lt;=Teams!$H17,Teams!$E17,ROUND(Teams!$E17*(Teams!$I17-AK$6+1)/(Teams!$I17-Teams!$H17),0))))</f>
        <v/>
      </c>
      <c r="AL19" s="34">
        <f>IF(OR(AL$6&lt;Teams!$F17,AL$6&gt;Teams!$I17),0,IF(AL$6&lt;Teams!$G17,ROUND(Teams!$E17*(AL$6-Teams!$F17+1)/(Teams!$G17-Teams!$F17+1),0),IF(AL$6&lt;=Teams!$H17,Teams!$E17,ROUND(Teams!$E17*(Teams!$I17-AL$6+1)/(Teams!$I17-Teams!$H17),0))))</f>
        <v/>
      </c>
      <c r="AM19" s="34">
        <f>IF(OR(AM$6&lt;Teams!$F17,AM$6&gt;Teams!$I17),0,IF(AM$6&lt;Teams!$G17,ROUND(Teams!$E17*(AM$6-Teams!$F17+1)/(Teams!$G17-Teams!$F17+1),0),IF(AM$6&lt;=Teams!$H17,Teams!$E17,ROUND(Teams!$E17*(Teams!$I17-AM$6+1)/(Teams!$I17-Teams!$H17),0))))</f>
        <v/>
      </c>
      <c r="AN19" s="34">
        <f>IF(OR(AN$6&lt;Teams!$F17,AN$6&gt;Teams!$I17),0,IF(AN$6&lt;Teams!$G17,ROUND(Teams!$E17*(AN$6-Teams!$F17+1)/(Teams!$G17-Teams!$F17+1),0),IF(AN$6&lt;=Teams!$H17,Teams!$E17,ROUND(Teams!$E17*(Teams!$I17-AN$6+1)/(Teams!$I17-Teams!$H17),0))))</f>
        <v/>
      </c>
    </row>
    <row r="20">
      <c r="A20" s="33">
        <f>Teams!A18</f>
        <v/>
      </c>
      <c r="B20" s="33">
        <f>Teams!C18&amp;" — "&amp;Teams!B18</f>
        <v/>
      </c>
      <c r="C20" s="34">
        <f>IF(OR(C$6&lt;Teams!$F18,C$6&gt;Teams!$I18),0,IF(C$6&lt;Teams!$G18,ROUND(Teams!$E18*(C$6-Teams!$F18+1)/(Teams!$G18-Teams!$F18+1),0),IF(C$6&lt;=Teams!$H18,Teams!$E18,ROUND(Teams!$E18*(Teams!$I18-C$6+1)/(Teams!$I18-Teams!$H18),0))))</f>
        <v/>
      </c>
      <c r="D20" s="34">
        <f>IF(OR(D$6&lt;Teams!$F18,D$6&gt;Teams!$I18),0,IF(D$6&lt;Teams!$G18,ROUND(Teams!$E18*(D$6-Teams!$F18+1)/(Teams!$G18-Teams!$F18+1),0),IF(D$6&lt;=Teams!$H18,Teams!$E18,ROUND(Teams!$E18*(Teams!$I18-D$6+1)/(Teams!$I18-Teams!$H18),0))))</f>
        <v/>
      </c>
      <c r="E20" s="34">
        <f>IF(OR(E$6&lt;Teams!$F18,E$6&gt;Teams!$I18),0,IF(E$6&lt;Teams!$G18,ROUND(Teams!$E18*(E$6-Teams!$F18+1)/(Teams!$G18-Teams!$F18+1),0),IF(E$6&lt;=Teams!$H18,Teams!$E18,ROUND(Teams!$E18*(Teams!$I18-E$6+1)/(Teams!$I18-Teams!$H18),0))))</f>
        <v/>
      </c>
      <c r="F20" s="34">
        <f>IF(OR(F$6&lt;Teams!$F18,F$6&gt;Teams!$I18),0,IF(F$6&lt;Teams!$G18,ROUND(Teams!$E18*(F$6-Teams!$F18+1)/(Teams!$G18-Teams!$F18+1),0),IF(F$6&lt;=Teams!$H18,Teams!$E18,ROUND(Teams!$E18*(Teams!$I18-F$6+1)/(Teams!$I18-Teams!$H18),0))))</f>
        <v/>
      </c>
      <c r="G20" s="34">
        <f>IF(OR(G$6&lt;Teams!$F18,G$6&gt;Teams!$I18),0,IF(G$6&lt;Teams!$G18,ROUND(Teams!$E18*(G$6-Teams!$F18+1)/(Teams!$G18-Teams!$F18+1),0),IF(G$6&lt;=Teams!$H18,Teams!$E18,ROUND(Teams!$E18*(Teams!$I18-G$6+1)/(Teams!$I18-Teams!$H18),0))))</f>
        <v/>
      </c>
      <c r="H20" s="34">
        <f>IF(OR(H$6&lt;Teams!$F18,H$6&gt;Teams!$I18),0,IF(H$6&lt;Teams!$G18,ROUND(Teams!$E18*(H$6-Teams!$F18+1)/(Teams!$G18-Teams!$F18+1),0),IF(H$6&lt;=Teams!$H18,Teams!$E18,ROUND(Teams!$E18*(Teams!$I18-H$6+1)/(Teams!$I18-Teams!$H18),0))))</f>
        <v/>
      </c>
      <c r="I20" s="34">
        <f>IF(OR(I$6&lt;Teams!$F18,I$6&gt;Teams!$I18),0,IF(I$6&lt;Teams!$G18,ROUND(Teams!$E18*(I$6-Teams!$F18+1)/(Teams!$G18-Teams!$F18+1),0),IF(I$6&lt;=Teams!$H18,Teams!$E18,ROUND(Teams!$E18*(Teams!$I18-I$6+1)/(Teams!$I18-Teams!$H18),0))))</f>
        <v/>
      </c>
      <c r="J20" s="34">
        <f>IF(OR(J$6&lt;Teams!$F18,J$6&gt;Teams!$I18),0,IF(J$6&lt;Teams!$G18,ROUND(Teams!$E18*(J$6-Teams!$F18+1)/(Teams!$G18-Teams!$F18+1),0),IF(J$6&lt;=Teams!$H18,Teams!$E18,ROUND(Teams!$E18*(Teams!$I18-J$6+1)/(Teams!$I18-Teams!$H18),0))))</f>
        <v/>
      </c>
      <c r="K20" s="34">
        <f>IF(OR(K$6&lt;Teams!$F18,K$6&gt;Teams!$I18),0,IF(K$6&lt;Teams!$G18,ROUND(Teams!$E18*(K$6-Teams!$F18+1)/(Teams!$G18-Teams!$F18+1),0),IF(K$6&lt;=Teams!$H18,Teams!$E18,ROUND(Teams!$E18*(Teams!$I18-K$6+1)/(Teams!$I18-Teams!$H18),0))))</f>
        <v/>
      </c>
      <c r="L20" s="34">
        <f>IF(OR(L$6&lt;Teams!$F18,L$6&gt;Teams!$I18),0,IF(L$6&lt;Teams!$G18,ROUND(Teams!$E18*(L$6-Teams!$F18+1)/(Teams!$G18-Teams!$F18+1),0),IF(L$6&lt;=Teams!$H18,Teams!$E18,ROUND(Teams!$E18*(Teams!$I18-L$6+1)/(Teams!$I18-Teams!$H18),0))))</f>
        <v/>
      </c>
      <c r="M20" s="34">
        <f>IF(OR(M$6&lt;Teams!$F18,M$6&gt;Teams!$I18),0,IF(M$6&lt;Teams!$G18,ROUND(Teams!$E18*(M$6-Teams!$F18+1)/(Teams!$G18-Teams!$F18+1),0),IF(M$6&lt;=Teams!$H18,Teams!$E18,ROUND(Teams!$E18*(Teams!$I18-M$6+1)/(Teams!$I18-Teams!$H18),0))))</f>
        <v/>
      </c>
      <c r="N20" s="34">
        <f>IF(OR(N$6&lt;Teams!$F18,N$6&gt;Teams!$I18),0,IF(N$6&lt;Teams!$G18,ROUND(Teams!$E18*(N$6-Teams!$F18+1)/(Teams!$G18-Teams!$F18+1),0),IF(N$6&lt;=Teams!$H18,Teams!$E18,ROUND(Teams!$E18*(Teams!$I18-N$6+1)/(Teams!$I18-Teams!$H18),0))))</f>
        <v/>
      </c>
      <c r="O20" s="34">
        <f>IF(OR(O$6&lt;Teams!$F18,O$6&gt;Teams!$I18),0,IF(O$6&lt;Teams!$G18,ROUND(Teams!$E18*(O$6-Teams!$F18+1)/(Teams!$G18-Teams!$F18+1),0),IF(O$6&lt;=Teams!$H18,Teams!$E18,ROUND(Teams!$E18*(Teams!$I18-O$6+1)/(Teams!$I18-Teams!$H18),0))))</f>
        <v/>
      </c>
      <c r="P20" s="34">
        <f>IF(OR(P$6&lt;Teams!$F18,P$6&gt;Teams!$I18),0,IF(P$6&lt;Teams!$G18,ROUND(Teams!$E18*(P$6-Teams!$F18+1)/(Teams!$G18-Teams!$F18+1),0),IF(P$6&lt;=Teams!$H18,Teams!$E18,ROUND(Teams!$E18*(Teams!$I18-P$6+1)/(Teams!$I18-Teams!$H18),0))))</f>
        <v/>
      </c>
      <c r="Q20" s="34">
        <f>IF(OR(Q$6&lt;Teams!$F18,Q$6&gt;Teams!$I18),0,IF(Q$6&lt;Teams!$G18,ROUND(Teams!$E18*(Q$6-Teams!$F18+1)/(Teams!$G18-Teams!$F18+1),0),IF(Q$6&lt;=Teams!$H18,Teams!$E18,ROUND(Teams!$E18*(Teams!$I18-Q$6+1)/(Teams!$I18-Teams!$H18),0))))</f>
        <v/>
      </c>
      <c r="R20" s="34">
        <f>IF(OR(R$6&lt;Teams!$F18,R$6&gt;Teams!$I18),0,IF(R$6&lt;Teams!$G18,ROUND(Teams!$E18*(R$6-Teams!$F18+1)/(Teams!$G18-Teams!$F18+1),0),IF(R$6&lt;=Teams!$H18,Teams!$E18,ROUND(Teams!$E18*(Teams!$I18-R$6+1)/(Teams!$I18-Teams!$H18),0))))</f>
        <v/>
      </c>
      <c r="S20" s="34">
        <f>IF(OR(S$6&lt;Teams!$F18,S$6&gt;Teams!$I18),0,IF(S$6&lt;Teams!$G18,ROUND(Teams!$E18*(S$6-Teams!$F18+1)/(Teams!$G18-Teams!$F18+1),0),IF(S$6&lt;=Teams!$H18,Teams!$E18,ROUND(Teams!$E18*(Teams!$I18-S$6+1)/(Teams!$I18-Teams!$H18),0))))</f>
        <v/>
      </c>
      <c r="T20" s="34">
        <f>IF(OR(T$6&lt;Teams!$F18,T$6&gt;Teams!$I18),0,IF(T$6&lt;Teams!$G18,ROUND(Teams!$E18*(T$6-Teams!$F18+1)/(Teams!$G18-Teams!$F18+1),0),IF(T$6&lt;=Teams!$H18,Teams!$E18,ROUND(Teams!$E18*(Teams!$I18-T$6+1)/(Teams!$I18-Teams!$H18),0))))</f>
        <v/>
      </c>
      <c r="U20" s="34">
        <f>IF(OR(U$6&lt;Teams!$F18,U$6&gt;Teams!$I18),0,IF(U$6&lt;Teams!$G18,ROUND(Teams!$E18*(U$6-Teams!$F18+1)/(Teams!$G18-Teams!$F18+1),0),IF(U$6&lt;=Teams!$H18,Teams!$E18,ROUND(Teams!$E18*(Teams!$I18-U$6+1)/(Teams!$I18-Teams!$H18),0))))</f>
        <v/>
      </c>
      <c r="V20" s="34">
        <f>IF(OR(V$6&lt;Teams!$F18,V$6&gt;Teams!$I18),0,IF(V$6&lt;Teams!$G18,ROUND(Teams!$E18*(V$6-Teams!$F18+1)/(Teams!$G18-Teams!$F18+1),0),IF(V$6&lt;=Teams!$H18,Teams!$E18,ROUND(Teams!$E18*(Teams!$I18-V$6+1)/(Teams!$I18-Teams!$H18),0))))</f>
        <v/>
      </c>
      <c r="W20" s="34">
        <f>IF(OR(W$6&lt;Teams!$F18,W$6&gt;Teams!$I18),0,IF(W$6&lt;Teams!$G18,ROUND(Teams!$E18*(W$6-Teams!$F18+1)/(Teams!$G18-Teams!$F18+1),0),IF(W$6&lt;=Teams!$H18,Teams!$E18,ROUND(Teams!$E18*(Teams!$I18-W$6+1)/(Teams!$I18-Teams!$H18),0))))</f>
        <v/>
      </c>
      <c r="X20" s="34">
        <f>IF(OR(X$6&lt;Teams!$F18,X$6&gt;Teams!$I18),0,IF(X$6&lt;Teams!$G18,ROUND(Teams!$E18*(X$6-Teams!$F18+1)/(Teams!$G18-Teams!$F18+1),0),IF(X$6&lt;=Teams!$H18,Teams!$E18,ROUND(Teams!$E18*(Teams!$I18-X$6+1)/(Teams!$I18-Teams!$H18),0))))</f>
        <v/>
      </c>
      <c r="Y20" s="34">
        <f>IF(OR(Y$6&lt;Teams!$F18,Y$6&gt;Teams!$I18),0,IF(Y$6&lt;Teams!$G18,ROUND(Teams!$E18*(Y$6-Teams!$F18+1)/(Teams!$G18-Teams!$F18+1),0),IF(Y$6&lt;=Teams!$H18,Teams!$E18,ROUND(Teams!$E18*(Teams!$I18-Y$6+1)/(Teams!$I18-Teams!$H18),0))))</f>
        <v/>
      </c>
      <c r="Z20" s="34">
        <f>IF(OR(Z$6&lt;Teams!$F18,Z$6&gt;Teams!$I18),0,IF(Z$6&lt;Teams!$G18,ROUND(Teams!$E18*(Z$6-Teams!$F18+1)/(Teams!$G18-Teams!$F18+1),0),IF(Z$6&lt;=Teams!$H18,Teams!$E18,ROUND(Teams!$E18*(Teams!$I18-Z$6+1)/(Teams!$I18-Teams!$H18),0))))</f>
        <v/>
      </c>
      <c r="AA20" s="34">
        <f>IF(OR(AA$6&lt;Teams!$F18,AA$6&gt;Teams!$I18),0,IF(AA$6&lt;Teams!$G18,ROUND(Teams!$E18*(AA$6-Teams!$F18+1)/(Teams!$G18-Teams!$F18+1),0),IF(AA$6&lt;=Teams!$H18,Teams!$E18,ROUND(Teams!$E18*(Teams!$I18-AA$6+1)/(Teams!$I18-Teams!$H18),0))))</f>
        <v/>
      </c>
      <c r="AB20" s="34">
        <f>IF(OR(AB$6&lt;Teams!$F18,AB$6&gt;Teams!$I18),0,IF(AB$6&lt;Teams!$G18,ROUND(Teams!$E18*(AB$6-Teams!$F18+1)/(Teams!$G18-Teams!$F18+1),0),IF(AB$6&lt;=Teams!$H18,Teams!$E18,ROUND(Teams!$E18*(Teams!$I18-AB$6+1)/(Teams!$I18-Teams!$H18),0))))</f>
        <v/>
      </c>
      <c r="AC20" s="34">
        <f>IF(OR(AC$6&lt;Teams!$F18,AC$6&gt;Teams!$I18),0,IF(AC$6&lt;Teams!$G18,ROUND(Teams!$E18*(AC$6-Teams!$F18+1)/(Teams!$G18-Teams!$F18+1),0),IF(AC$6&lt;=Teams!$H18,Teams!$E18,ROUND(Teams!$E18*(Teams!$I18-AC$6+1)/(Teams!$I18-Teams!$H18),0))))</f>
        <v/>
      </c>
      <c r="AD20" s="34">
        <f>IF(OR(AD$6&lt;Teams!$F18,AD$6&gt;Teams!$I18),0,IF(AD$6&lt;Teams!$G18,ROUND(Teams!$E18*(AD$6-Teams!$F18+1)/(Teams!$G18-Teams!$F18+1),0),IF(AD$6&lt;=Teams!$H18,Teams!$E18,ROUND(Teams!$E18*(Teams!$I18-AD$6+1)/(Teams!$I18-Teams!$H18),0))))</f>
        <v/>
      </c>
      <c r="AE20" s="34">
        <f>IF(OR(AE$6&lt;Teams!$F18,AE$6&gt;Teams!$I18),0,IF(AE$6&lt;Teams!$G18,ROUND(Teams!$E18*(AE$6-Teams!$F18+1)/(Teams!$G18-Teams!$F18+1),0),IF(AE$6&lt;=Teams!$H18,Teams!$E18,ROUND(Teams!$E18*(Teams!$I18-AE$6+1)/(Teams!$I18-Teams!$H18),0))))</f>
        <v/>
      </c>
      <c r="AF20" s="34">
        <f>IF(OR(AF$6&lt;Teams!$F18,AF$6&gt;Teams!$I18),0,IF(AF$6&lt;Teams!$G18,ROUND(Teams!$E18*(AF$6-Teams!$F18+1)/(Teams!$G18-Teams!$F18+1),0),IF(AF$6&lt;=Teams!$H18,Teams!$E18,ROUND(Teams!$E18*(Teams!$I18-AF$6+1)/(Teams!$I18-Teams!$H18),0))))</f>
        <v/>
      </c>
      <c r="AG20" s="34">
        <f>IF(OR(AG$6&lt;Teams!$F18,AG$6&gt;Teams!$I18),0,IF(AG$6&lt;Teams!$G18,ROUND(Teams!$E18*(AG$6-Teams!$F18+1)/(Teams!$G18-Teams!$F18+1),0),IF(AG$6&lt;=Teams!$H18,Teams!$E18,ROUND(Teams!$E18*(Teams!$I18-AG$6+1)/(Teams!$I18-Teams!$H18),0))))</f>
        <v/>
      </c>
      <c r="AH20" s="34">
        <f>IF(OR(AH$6&lt;Teams!$F18,AH$6&gt;Teams!$I18),0,IF(AH$6&lt;Teams!$G18,ROUND(Teams!$E18*(AH$6-Teams!$F18+1)/(Teams!$G18-Teams!$F18+1),0),IF(AH$6&lt;=Teams!$H18,Teams!$E18,ROUND(Teams!$E18*(Teams!$I18-AH$6+1)/(Teams!$I18-Teams!$H18),0))))</f>
        <v/>
      </c>
      <c r="AI20" s="34">
        <f>IF(OR(AI$6&lt;Teams!$F18,AI$6&gt;Teams!$I18),0,IF(AI$6&lt;Teams!$G18,ROUND(Teams!$E18*(AI$6-Teams!$F18+1)/(Teams!$G18-Teams!$F18+1),0),IF(AI$6&lt;=Teams!$H18,Teams!$E18,ROUND(Teams!$E18*(Teams!$I18-AI$6+1)/(Teams!$I18-Teams!$H18),0))))</f>
        <v/>
      </c>
      <c r="AJ20" s="34">
        <f>IF(OR(AJ$6&lt;Teams!$F18,AJ$6&gt;Teams!$I18),0,IF(AJ$6&lt;Teams!$G18,ROUND(Teams!$E18*(AJ$6-Teams!$F18+1)/(Teams!$G18-Teams!$F18+1),0),IF(AJ$6&lt;=Teams!$H18,Teams!$E18,ROUND(Teams!$E18*(Teams!$I18-AJ$6+1)/(Teams!$I18-Teams!$H18),0))))</f>
        <v/>
      </c>
      <c r="AK20" s="34">
        <f>IF(OR(AK$6&lt;Teams!$F18,AK$6&gt;Teams!$I18),0,IF(AK$6&lt;Teams!$G18,ROUND(Teams!$E18*(AK$6-Teams!$F18+1)/(Teams!$G18-Teams!$F18+1),0),IF(AK$6&lt;=Teams!$H18,Teams!$E18,ROUND(Teams!$E18*(Teams!$I18-AK$6+1)/(Teams!$I18-Teams!$H18),0))))</f>
        <v/>
      </c>
      <c r="AL20" s="34">
        <f>IF(OR(AL$6&lt;Teams!$F18,AL$6&gt;Teams!$I18),0,IF(AL$6&lt;Teams!$G18,ROUND(Teams!$E18*(AL$6-Teams!$F18+1)/(Teams!$G18-Teams!$F18+1),0),IF(AL$6&lt;=Teams!$H18,Teams!$E18,ROUND(Teams!$E18*(Teams!$I18-AL$6+1)/(Teams!$I18-Teams!$H18),0))))</f>
        <v/>
      </c>
      <c r="AM20" s="34">
        <f>IF(OR(AM$6&lt;Teams!$F18,AM$6&gt;Teams!$I18),0,IF(AM$6&lt;Teams!$G18,ROUND(Teams!$E18*(AM$6-Teams!$F18+1)/(Teams!$G18-Teams!$F18+1),0),IF(AM$6&lt;=Teams!$H18,Teams!$E18,ROUND(Teams!$E18*(Teams!$I18-AM$6+1)/(Teams!$I18-Teams!$H18),0))))</f>
        <v/>
      </c>
      <c r="AN20" s="34">
        <f>IF(OR(AN$6&lt;Teams!$F18,AN$6&gt;Teams!$I18),0,IF(AN$6&lt;Teams!$G18,ROUND(Teams!$E18*(AN$6-Teams!$F18+1)/(Teams!$G18-Teams!$F18+1),0),IF(AN$6&lt;=Teams!$H18,Teams!$E18,ROUND(Teams!$E18*(Teams!$I18-AN$6+1)/(Teams!$I18-Teams!$H18),0))))</f>
        <v/>
      </c>
    </row>
    <row r="21">
      <c r="A21" s="33">
        <f>Teams!A19</f>
        <v/>
      </c>
      <c r="B21" s="33">
        <f>Teams!C19&amp;" — "&amp;Teams!B19</f>
        <v/>
      </c>
      <c r="C21" s="34">
        <f>IF(OR(C$6&lt;Teams!$F19,C$6&gt;Teams!$I19),0,IF(C$6&lt;Teams!$G19,ROUND(Teams!$E19*(C$6-Teams!$F19+1)/(Teams!$G19-Teams!$F19+1),0),IF(C$6&lt;=Teams!$H19,Teams!$E19,ROUND(Teams!$E19*(Teams!$I19-C$6+1)/(Teams!$I19-Teams!$H19),0))))</f>
        <v/>
      </c>
      <c r="D21" s="34">
        <f>IF(OR(D$6&lt;Teams!$F19,D$6&gt;Teams!$I19),0,IF(D$6&lt;Teams!$G19,ROUND(Teams!$E19*(D$6-Teams!$F19+1)/(Teams!$G19-Teams!$F19+1),0),IF(D$6&lt;=Teams!$H19,Teams!$E19,ROUND(Teams!$E19*(Teams!$I19-D$6+1)/(Teams!$I19-Teams!$H19),0))))</f>
        <v/>
      </c>
      <c r="E21" s="34">
        <f>IF(OR(E$6&lt;Teams!$F19,E$6&gt;Teams!$I19),0,IF(E$6&lt;Teams!$G19,ROUND(Teams!$E19*(E$6-Teams!$F19+1)/(Teams!$G19-Teams!$F19+1),0),IF(E$6&lt;=Teams!$H19,Teams!$E19,ROUND(Teams!$E19*(Teams!$I19-E$6+1)/(Teams!$I19-Teams!$H19),0))))</f>
        <v/>
      </c>
      <c r="F21" s="34">
        <f>IF(OR(F$6&lt;Teams!$F19,F$6&gt;Teams!$I19),0,IF(F$6&lt;Teams!$G19,ROUND(Teams!$E19*(F$6-Teams!$F19+1)/(Teams!$G19-Teams!$F19+1),0),IF(F$6&lt;=Teams!$H19,Teams!$E19,ROUND(Teams!$E19*(Teams!$I19-F$6+1)/(Teams!$I19-Teams!$H19),0))))</f>
        <v/>
      </c>
      <c r="G21" s="34">
        <f>IF(OR(G$6&lt;Teams!$F19,G$6&gt;Teams!$I19),0,IF(G$6&lt;Teams!$G19,ROUND(Teams!$E19*(G$6-Teams!$F19+1)/(Teams!$G19-Teams!$F19+1),0),IF(G$6&lt;=Teams!$H19,Teams!$E19,ROUND(Teams!$E19*(Teams!$I19-G$6+1)/(Teams!$I19-Teams!$H19),0))))</f>
        <v/>
      </c>
      <c r="H21" s="34">
        <f>IF(OR(H$6&lt;Teams!$F19,H$6&gt;Teams!$I19),0,IF(H$6&lt;Teams!$G19,ROUND(Teams!$E19*(H$6-Teams!$F19+1)/(Teams!$G19-Teams!$F19+1),0),IF(H$6&lt;=Teams!$H19,Teams!$E19,ROUND(Teams!$E19*(Teams!$I19-H$6+1)/(Teams!$I19-Teams!$H19),0))))</f>
        <v/>
      </c>
      <c r="I21" s="34">
        <f>IF(OR(I$6&lt;Teams!$F19,I$6&gt;Teams!$I19),0,IF(I$6&lt;Teams!$G19,ROUND(Teams!$E19*(I$6-Teams!$F19+1)/(Teams!$G19-Teams!$F19+1),0),IF(I$6&lt;=Teams!$H19,Teams!$E19,ROUND(Teams!$E19*(Teams!$I19-I$6+1)/(Teams!$I19-Teams!$H19),0))))</f>
        <v/>
      </c>
      <c r="J21" s="34">
        <f>IF(OR(J$6&lt;Teams!$F19,J$6&gt;Teams!$I19),0,IF(J$6&lt;Teams!$G19,ROUND(Teams!$E19*(J$6-Teams!$F19+1)/(Teams!$G19-Teams!$F19+1),0),IF(J$6&lt;=Teams!$H19,Teams!$E19,ROUND(Teams!$E19*(Teams!$I19-J$6+1)/(Teams!$I19-Teams!$H19),0))))</f>
        <v/>
      </c>
      <c r="K21" s="34">
        <f>IF(OR(K$6&lt;Teams!$F19,K$6&gt;Teams!$I19),0,IF(K$6&lt;Teams!$G19,ROUND(Teams!$E19*(K$6-Teams!$F19+1)/(Teams!$G19-Teams!$F19+1),0),IF(K$6&lt;=Teams!$H19,Teams!$E19,ROUND(Teams!$E19*(Teams!$I19-K$6+1)/(Teams!$I19-Teams!$H19),0))))</f>
        <v/>
      </c>
      <c r="L21" s="34">
        <f>IF(OR(L$6&lt;Teams!$F19,L$6&gt;Teams!$I19),0,IF(L$6&lt;Teams!$G19,ROUND(Teams!$E19*(L$6-Teams!$F19+1)/(Teams!$G19-Teams!$F19+1),0),IF(L$6&lt;=Teams!$H19,Teams!$E19,ROUND(Teams!$E19*(Teams!$I19-L$6+1)/(Teams!$I19-Teams!$H19),0))))</f>
        <v/>
      </c>
      <c r="M21" s="34">
        <f>IF(OR(M$6&lt;Teams!$F19,M$6&gt;Teams!$I19),0,IF(M$6&lt;Teams!$G19,ROUND(Teams!$E19*(M$6-Teams!$F19+1)/(Teams!$G19-Teams!$F19+1),0),IF(M$6&lt;=Teams!$H19,Teams!$E19,ROUND(Teams!$E19*(Teams!$I19-M$6+1)/(Teams!$I19-Teams!$H19),0))))</f>
        <v/>
      </c>
      <c r="N21" s="34">
        <f>IF(OR(N$6&lt;Teams!$F19,N$6&gt;Teams!$I19),0,IF(N$6&lt;Teams!$G19,ROUND(Teams!$E19*(N$6-Teams!$F19+1)/(Teams!$G19-Teams!$F19+1),0),IF(N$6&lt;=Teams!$H19,Teams!$E19,ROUND(Teams!$E19*(Teams!$I19-N$6+1)/(Teams!$I19-Teams!$H19),0))))</f>
        <v/>
      </c>
      <c r="O21" s="34">
        <f>IF(OR(O$6&lt;Teams!$F19,O$6&gt;Teams!$I19),0,IF(O$6&lt;Teams!$G19,ROUND(Teams!$E19*(O$6-Teams!$F19+1)/(Teams!$G19-Teams!$F19+1),0),IF(O$6&lt;=Teams!$H19,Teams!$E19,ROUND(Teams!$E19*(Teams!$I19-O$6+1)/(Teams!$I19-Teams!$H19),0))))</f>
        <v/>
      </c>
      <c r="P21" s="34">
        <f>IF(OR(P$6&lt;Teams!$F19,P$6&gt;Teams!$I19),0,IF(P$6&lt;Teams!$G19,ROUND(Teams!$E19*(P$6-Teams!$F19+1)/(Teams!$G19-Teams!$F19+1),0),IF(P$6&lt;=Teams!$H19,Teams!$E19,ROUND(Teams!$E19*(Teams!$I19-P$6+1)/(Teams!$I19-Teams!$H19),0))))</f>
        <v/>
      </c>
      <c r="Q21" s="34">
        <f>IF(OR(Q$6&lt;Teams!$F19,Q$6&gt;Teams!$I19),0,IF(Q$6&lt;Teams!$G19,ROUND(Teams!$E19*(Q$6-Teams!$F19+1)/(Teams!$G19-Teams!$F19+1),0),IF(Q$6&lt;=Teams!$H19,Teams!$E19,ROUND(Teams!$E19*(Teams!$I19-Q$6+1)/(Teams!$I19-Teams!$H19),0))))</f>
        <v/>
      </c>
      <c r="R21" s="34">
        <f>IF(OR(R$6&lt;Teams!$F19,R$6&gt;Teams!$I19),0,IF(R$6&lt;Teams!$G19,ROUND(Teams!$E19*(R$6-Teams!$F19+1)/(Teams!$G19-Teams!$F19+1),0),IF(R$6&lt;=Teams!$H19,Teams!$E19,ROUND(Teams!$E19*(Teams!$I19-R$6+1)/(Teams!$I19-Teams!$H19),0))))</f>
        <v/>
      </c>
      <c r="S21" s="34">
        <f>IF(OR(S$6&lt;Teams!$F19,S$6&gt;Teams!$I19),0,IF(S$6&lt;Teams!$G19,ROUND(Teams!$E19*(S$6-Teams!$F19+1)/(Teams!$G19-Teams!$F19+1),0),IF(S$6&lt;=Teams!$H19,Teams!$E19,ROUND(Teams!$E19*(Teams!$I19-S$6+1)/(Teams!$I19-Teams!$H19),0))))</f>
        <v/>
      </c>
      <c r="T21" s="34">
        <f>IF(OR(T$6&lt;Teams!$F19,T$6&gt;Teams!$I19),0,IF(T$6&lt;Teams!$G19,ROUND(Teams!$E19*(T$6-Teams!$F19+1)/(Teams!$G19-Teams!$F19+1),0),IF(T$6&lt;=Teams!$H19,Teams!$E19,ROUND(Teams!$E19*(Teams!$I19-T$6+1)/(Teams!$I19-Teams!$H19),0))))</f>
        <v/>
      </c>
      <c r="U21" s="34">
        <f>IF(OR(U$6&lt;Teams!$F19,U$6&gt;Teams!$I19),0,IF(U$6&lt;Teams!$G19,ROUND(Teams!$E19*(U$6-Teams!$F19+1)/(Teams!$G19-Teams!$F19+1),0),IF(U$6&lt;=Teams!$H19,Teams!$E19,ROUND(Teams!$E19*(Teams!$I19-U$6+1)/(Teams!$I19-Teams!$H19),0))))</f>
        <v/>
      </c>
      <c r="V21" s="34">
        <f>IF(OR(V$6&lt;Teams!$F19,V$6&gt;Teams!$I19),0,IF(V$6&lt;Teams!$G19,ROUND(Teams!$E19*(V$6-Teams!$F19+1)/(Teams!$G19-Teams!$F19+1),0),IF(V$6&lt;=Teams!$H19,Teams!$E19,ROUND(Teams!$E19*(Teams!$I19-V$6+1)/(Teams!$I19-Teams!$H19),0))))</f>
        <v/>
      </c>
      <c r="W21" s="34">
        <f>IF(OR(W$6&lt;Teams!$F19,W$6&gt;Teams!$I19),0,IF(W$6&lt;Teams!$G19,ROUND(Teams!$E19*(W$6-Teams!$F19+1)/(Teams!$G19-Teams!$F19+1),0),IF(W$6&lt;=Teams!$H19,Teams!$E19,ROUND(Teams!$E19*(Teams!$I19-W$6+1)/(Teams!$I19-Teams!$H19),0))))</f>
        <v/>
      </c>
      <c r="X21" s="34">
        <f>IF(OR(X$6&lt;Teams!$F19,X$6&gt;Teams!$I19),0,IF(X$6&lt;Teams!$G19,ROUND(Teams!$E19*(X$6-Teams!$F19+1)/(Teams!$G19-Teams!$F19+1),0),IF(X$6&lt;=Teams!$H19,Teams!$E19,ROUND(Teams!$E19*(Teams!$I19-X$6+1)/(Teams!$I19-Teams!$H19),0))))</f>
        <v/>
      </c>
      <c r="Y21" s="34">
        <f>IF(OR(Y$6&lt;Teams!$F19,Y$6&gt;Teams!$I19),0,IF(Y$6&lt;Teams!$G19,ROUND(Teams!$E19*(Y$6-Teams!$F19+1)/(Teams!$G19-Teams!$F19+1),0),IF(Y$6&lt;=Teams!$H19,Teams!$E19,ROUND(Teams!$E19*(Teams!$I19-Y$6+1)/(Teams!$I19-Teams!$H19),0))))</f>
        <v/>
      </c>
      <c r="Z21" s="34">
        <f>IF(OR(Z$6&lt;Teams!$F19,Z$6&gt;Teams!$I19),0,IF(Z$6&lt;Teams!$G19,ROUND(Teams!$E19*(Z$6-Teams!$F19+1)/(Teams!$G19-Teams!$F19+1),0),IF(Z$6&lt;=Teams!$H19,Teams!$E19,ROUND(Teams!$E19*(Teams!$I19-Z$6+1)/(Teams!$I19-Teams!$H19),0))))</f>
        <v/>
      </c>
      <c r="AA21" s="34">
        <f>IF(OR(AA$6&lt;Teams!$F19,AA$6&gt;Teams!$I19),0,IF(AA$6&lt;Teams!$G19,ROUND(Teams!$E19*(AA$6-Teams!$F19+1)/(Teams!$G19-Teams!$F19+1),0),IF(AA$6&lt;=Teams!$H19,Teams!$E19,ROUND(Teams!$E19*(Teams!$I19-AA$6+1)/(Teams!$I19-Teams!$H19),0))))</f>
        <v/>
      </c>
      <c r="AB21" s="34">
        <f>IF(OR(AB$6&lt;Teams!$F19,AB$6&gt;Teams!$I19),0,IF(AB$6&lt;Teams!$G19,ROUND(Teams!$E19*(AB$6-Teams!$F19+1)/(Teams!$G19-Teams!$F19+1),0),IF(AB$6&lt;=Teams!$H19,Teams!$E19,ROUND(Teams!$E19*(Teams!$I19-AB$6+1)/(Teams!$I19-Teams!$H19),0))))</f>
        <v/>
      </c>
      <c r="AC21" s="34">
        <f>IF(OR(AC$6&lt;Teams!$F19,AC$6&gt;Teams!$I19),0,IF(AC$6&lt;Teams!$G19,ROUND(Teams!$E19*(AC$6-Teams!$F19+1)/(Teams!$G19-Teams!$F19+1),0),IF(AC$6&lt;=Teams!$H19,Teams!$E19,ROUND(Teams!$E19*(Teams!$I19-AC$6+1)/(Teams!$I19-Teams!$H19),0))))</f>
        <v/>
      </c>
      <c r="AD21" s="34">
        <f>IF(OR(AD$6&lt;Teams!$F19,AD$6&gt;Teams!$I19),0,IF(AD$6&lt;Teams!$G19,ROUND(Teams!$E19*(AD$6-Teams!$F19+1)/(Teams!$G19-Teams!$F19+1),0),IF(AD$6&lt;=Teams!$H19,Teams!$E19,ROUND(Teams!$E19*(Teams!$I19-AD$6+1)/(Teams!$I19-Teams!$H19),0))))</f>
        <v/>
      </c>
      <c r="AE21" s="34">
        <f>IF(OR(AE$6&lt;Teams!$F19,AE$6&gt;Teams!$I19),0,IF(AE$6&lt;Teams!$G19,ROUND(Teams!$E19*(AE$6-Teams!$F19+1)/(Teams!$G19-Teams!$F19+1),0),IF(AE$6&lt;=Teams!$H19,Teams!$E19,ROUND(Teams!$E19*(Teams!$I19-AE$6+1)/(Teams!$I19-Teams!$H19),0))))</f>
        <v/>
      </c>
      <c r="AF21" s="34">
        <f>IF(OR(AF$6&lt;Teams!$F19,AF$6&gt;Teams!$I19),0,IF(AF$6&lt;Teams!$G19,ROUND(Teams!$E19*(AF$6-Teams!$F19+1)/(Teams!$G19-Teams!$F19+1),0),IF(AF$6&lt;=Teams!$H19,Teams!$E19,ROUND(Teams!$E19*(Teams!$I19-AF$6+1)/(Teams!$I19-Teams!$H19),0))))</f>
        <v/>
      </c>
      <c r="AG21" s="34">
        <f>IF(OR(AG$6&lt;Teams!$F19,AG$6&gt;Teams!$I19),0,IF(AG$6&lt;Teams!$G19,ROUND(Teams!$E19*(AG$6-Teams!$F19+1)/(Teams!$G19-Teams!$F19+1),0),IF(AG$6&lt;=Teams!$H19,Teams!$E19,ROUND(Teams!$E19*(Teams!$I19-AG$6+1)/(Teams!$I19-Teams!$H19),0))))</f>
        <v/>
      </c>
      <c r="AH21" s="34">
        <f>IF(OR(AH$6&lt;Teams!$F19,AH$6&gt;Teams!$I19),0,IF(AH$6&lt;Teams!$G19,ROUND(Teams!$E19*(AH$6-Teams!$F19+1)/(Teams!$G19-Teams!$F19+1),0),IF(AH$6&lt;=Teams!$H19,Teams!$E19,ROUND(Teams!$E19*(Teams!$I19-AH$6+1)/(Teams!$I19-Teams!$H19),0))))</f>
        <v/>
      </c>
      <c r="AI21" s="34">
        <f>IF(OR(AI$6&lt;Teams!$F19,AI$6&gt;Teams!$I19),0,IF(AI$6&lt;Teams!$G19,ROUND(Teams!$E19*(AI$6-Teams!$F19+1)/(Teams!$G19-Teams!$F19+1),0),IF(AI$6&lt;=Teams!$H19,Teams!$E19,ROUND(Teams!$E19*(Teams!$I19-AI$6+1)/(Teams!$I19-Teams!$H19),0))))</f>
        <v/>
      </c>
      <c r="AJ21" s="34">
        <f>IF(OR(AJ$6&lt;Teams!$F19,AJ$6&gt;Teams!$I19),0,IF(AJ$6&lt;Teams!$G19,ROUND(Teams!$E19*(AJ$6-Teams!$F19+1)/(Teams!$G19-Teams!$F19+1),0),IF(AJ$6&lt;=Teams!$H19,Teams!$E19,ROUND(Teams!$E19*(Teams!$I19-AJ$6+1)/(Teams!$I19-Teams!$H19),0))))</f>
        <v/>
      </c>
      <c r="AK21" s="34">
        <f>IF(OR(AK$6&lt;Teams!$F19,AK$6&gt;Teams!$I19),0,IF(AK$6&lt;Teams!$G19,ROUND(Teams!$E19*(AK$6-Teams!$F19+1)/(Teams!$G19-Teams!$F19+1),0),IF(AK$6&lt;=Teams!$H19,Teams!$E19,ROUND(Teams!$E19*(Teams!$I19-AK$6+1)/(Teams!$I19-Teams!$H19),0))))</f>
        <v/>
      </c>
      <c r="AL21" s="34">
        <f>IF(OR(AL$6&lt;Teams!$F19,AL$6&gt;Teams!$I19),0,IF(AL$6&lt;Teams!$G19,ROUND(Teams!$E19*(AL$6-Teams!$F19+1)/(Teams!$G19-Teams!$F19+1),0),IF(AL$6&lt;=Teams!$H19,Teams!$E19,ROUND(Teams!$E19*(Teams!$I19-AL$6+1)/(Teams!$I19-Teams!$H19),0))))</f>
        <v/>
      </c>
      <c r="AM21" s="34">
        <f>IF(OR(AM$6&lt;Teams!$F19,AM$6&gt;Teams!$I19),0,IF(AM$6&lt;Teams!$G19,ROUND(Teams!$E19*(AM$6-Teams!$F19+1)/(Teams!$G19-Teams!$F19+1),0),IF(AM$6&lt;=Teams!$H19,Teams!$E19,ROUND(Teams!$E19*(Teams!$I19-AM$6+1)/(Teams!$I19-Teams!$H19),0))))</f>
        <v/>
      </c>
      <c r="AN21" s="34">
        <f>IF(OR(AN$6&lt;Teams!$F19,AN$6&gt;Teams!$I19),0,IF(AN$6&lt;Teams!$G19,ROUND(Teams!$E19*(AN$6-Teams!$F19+1)/(Teams!$G19-Teams!$F19+1),0),IF(AN$6&lt;=Teams!$H19,Teams!$E19,ROUND(Teams!$E19*(Teams!$I19-AN$6+1)/(Teams!$I19-Teams!$H19),0))))</f>
        <v/>
      </c>
    </row>
    <row r="22">
      <c r="A22" s="33">
        <f>Teams!A20</f>
        <v/>
      </c>
      <c r="B22" s="33">
        <f>Teams!C20&amp;" — "&amp;Teams!B20</f>
        <v/>
      </c>
      <c r="C22" s="34">
        <f>IF(OR(C$6&lt;Teams!$F20,C$6&gt;Teams!$I20),0,IF(C$6&lt;Teams!$G20,ROUND(Teams!$E20*(C$6-Teams!$F20+1)/(Teams!$G20-Teams!$F20+1),0),IF(C$6&lt;=Teams!$H20,Teams!$E20,ROUND(Teams!$E20*(Teams!$I20-C$6+1)/(Teams!$I20-Teams!$H20),0))))</f>
        <v/>
      </c>
      <c r="D22" s="34">
        <f>IF(OR(D$6&lt;Teams!$F20,D$6&gt;Teams!$I20),0,IF(D$6&lt;Teams!$G20,ROUND(Teams!$E20*(D$6-Teams!$F20+1)/(Teams!$G20-Teams!$F20+1),0),IF(D$6&lt;=Teams!$H20,Teams!$E20,ROUND(Teams!$E20*(Teams!$I20-D$6+1)/(Teams!$I20-Teams!$H20),0))))</f>
        <v/>
      </c>
      <c r="E22" s="34">
        <f>IF(OR(E$6&lt;Teams!$F20,E$6&gt;Teams!$I20),0,IF(E$6&lt;Teams!$G20,ROUND(Teams!$E20*(E$6-Teams!$F20+1)/(Teams!$G20-Teams!$F20+1),0),IF(E$6&lt;=Teams!$H20,Teams!$E20,ROUND(Teams!$E20*(Teams!$I20-E$6+1)/(Teams!$I20-Teams!$H20),0))))</f>
        <v/>
      </c>
      <c r="F22" s="34">
        <f>IF(OR(F$6&lt;Teams!$F20,F$6&gt;Teams!$I20),0,IF(F$6&lt;Teams!$G20,ROUND(Teams!$E20*(F$6-Teams!$F20+1)/(Teams!$G20-Teams!$F20+1),0),IF(F$6&lt;=Teams!$H20,Teams!$E20,ROUND(Teams!$E20*(Teams!$I20-F$6+1)/(Teams!$I20-Teams!$H20),0))))</f>
        <v/>
      </c>
      <c r="G22" s="34">
        <f>IF(OR(G$6&lt;Teams!$F20,G$6&gt;Teams!$I20),0,IF(G$6&lt;Teams!$G20,ROUND(Teams!$E20*(G$6-Teams!$F20+1)/(Teams!$G20-Teams!$F20+1),0),IF(G$6&lt;=Teams!$H20,Teams!$E20,ROUND(Teams!$E20*(Teams!$I20-G$6+1)/(Teams!$I20-Teams!$H20),0))))</f>
        <v/>
      </c>
      <c r="H22" s="34">
        <f>IF(OR(H$6&lt;Teams!$F20,H$6&gt;Teams!$I20),0,IF(H$6&lt;Teams!$G20,ROUND(Teams!$E20*(H$6-Teams!$F20+1)/(Teams!$G20-Teams!$F20+1),0),IF(H$6&lt;=Teams!$H20,Teams!$E20,ROUND(Teams!$E20*(Teams!$I20-H$6+1)/(Teams!$I20-Teams!$H20),0))))</f>
        <v/>
      </c>
      <c r="I22" s="34">
        <f>IF(OR(I$6&lt;Teams!$F20,I$6&gt;Teams!$I20),0,IF(I$6&lt;Teams!$G20,ROUND(Teams!$E20*(I$6-Teams!$F20+1)/(Teams!$G20-Teams!$F20+1),0),IF(I$6&lt;=Teams!$H20,Teams!$E20,ROUND(Teams!$E20*(Teams!$I20-I$6+1)/(Teams!$I20-Teams!$H20),0))))</f>
        <v/>
      </c>
      <c r="J22" s="34">
        <f>IF(OR(J$6&lt;Teams!$F20,J$6&gt;Teams!$I20),0,IF(J$6&lt;Teams!$G20,ROUND(Teams!$E20*(J$6-Teams!$F20+1)/(Teams!$G20-Teams!$F20+1),0),IF(J$6&lt;=Teams!$H20,Teams!$E20,ROUND(Teams!$E20*(Teams!$I20-J$6+1)/(Teams!$I20-Teams!$H20),0))))</f>
        <v/>
      </c>
      <c r="K22" s="34">
        <f>IF(OR(K$6&lt;Teams!$F20,K$6&gt;Teams!$I20),0,IF(K$6&lt;Teams!$G20,ROUND(Teams!$E20*(K$6-Teams!$F20+1)/(Teams!$G20-Teams!$F20+1),0),IF(K$6&lt;=Teams!$H20,Teams!$E20,ROUND(Teams!$E20*(Teams!$I20-K$6+1)/(Teams!$I20-Teams!$H20),0))))</f>
        <v/>
      </c>
      <c r="L22" s="34">
        <f>IF(OR(L$6&lt;Teams!$F20,L$6&gt;Teams!$I20),0,IF(L$6&lt;Teams!$G20,ROUND(Teams!$E20*(L$6-Teams!$F20+1)/(Teams!$G20-Teams!$F20+1),0),IF(L$6&lt;=Teams!$H20,Teams!$E20,ROUND(Teams!$E20*(Teams!$I20-L$6+1)/(Teams!$I20-Teams!$H20),0))))</f>
        <v/>
      </c>
      <c r="M22" s="34">
        <f>IF(OR(M$6&lt;Teams!$F20,M$6&gt;Teams!$I20),0,IF(M$6&lt;Teams!$G20,ROUND(Teams!$E20*(M$6-Teams!$F20+1)/(Teams!$G20-Teams!$F20+1),0),IF(M$6&lt;=Teams!$H20,Teams!$E20,ROUND(Teams!$E20*(Teams!$I20-M$6+1)/(Teams!$I20-Teams!$H20),0))))</f>
        <v/>
      </c>
      <c r="N22" s="34">
        <f>IF(OR(N$6&lt;Teams!$F20,N$6&gt;Teams!$I20),0,IF(N$6&lt;Teams!$G20,ROUND(Teams!$E20*(N$6-Teams!$F20+1)/(Teams!$G20-Teams!$F20+1),0),IF(N$6&lt;=Teams!$H20,Teams!$E20,ROUND(Teams!$E20*(Teams!$I20-N$6+1)/(Teams!$I20-Teams!$H20),0))))</f>
        <v/>
      </c>
      <c r="O22" s="34">
        <f>IF(OR(O$6&lt;Teams!$F20,O$6&gt;Teams!$I20),0,IF(O$6&lt;Teams!$G20,ROUND(Teams!$E20*(O$6-Teams!$F20+1)/(Teams!$G20-Teams!$F20+1),0),IF(O$6&lt;=Teams!$H20,Teams!$E20,ROUND(Teams!$E20*(Teams!$I20-O$6+1)/(Teams!$I20-Teams!$H20),0))))</f>
        <v/>
      </c>
      <c r="P22" s="34">
        <f>IF(OR(P$6&lt;Teams!$F20,P$6&gt;Teams!$I20),0,IF(P$6&lt;Teams!$G20,ROUND(Teams!$E20*(P$6-Teams!$F20+1)/(Teams!$G20-Teams!$F20+1),0),IF(P$6&lt;=Teams!$H20,Teams!$E20,ROUND(Teams!$E20*(Teams!$I20-P$6+1)/(Teams!$I20-Teams!$H20),0))))</f>
        <v/>
      </c>
      <c r="Q22" s="34">
        <f>IF(OR(Q$6&lt;Teams!$F20,Q$6&gt;Teams!$I20),0,IF(Q$6&lt;Teams!$G20,ROUND(Teams!$E20*(Q$6-Teams!$F20+1)/(Teams!$G20-Teams!$F20+1),0),IF(Q$6&lt;=Teams!$H20,Teams!$E20,ROUND(Teams!$E20*(Teams!$I20-Q$6+1)/(Teams!$I20-Teams!$H20),0))))</f>
        <v/>
      </c>
      <c r="R22" s="34">
        <f>IF(OR(R$6&lt;Teams!$F20,R$6&gt;Teams!$I20),0,IF(R$6&lt;Teams!$G20,ROUND(Teams!$E20*(R$6-Teams!$F20+1)/(Teams!$G20-Teams!$F20+1),0),IF(R$6&lt;=Teams!$H20,Teams!$E20,ROUND(Teams!$E20*(Teams!$I20-R$6+1)/(Teams!$I20-Teams!$H20),0))))</f>
        <v/>
      </c>
      <c r="S22" s="34">
        <f>IF(OR(S$6&lt;Teams!$F20,S$6&gt;Teams!$I20),0,IF(S$6&lt;Teams!$G20,ROUND(Teams!$E20*(S$6-Teams!$F20+1)/(Teams!$G20-Teams!$F20+1),0),IF(S$6&lt;=Teams!$H20,Teams!$E20,ROUND(Teams!$E20*(Teams!$I20-S$6+1)/(Teams!$I20-Teams!$H20),0))))</f>
        <v/>
      </c>
      <c r="T22" s="34">
        <f>IF(OR(T$6&lt;Teams!$F20,T$6&gt;Teams!$I20),0,IF(T$6&lt;Teams!$G20,ROUND(Teams!$E20*(T$6-Teams!$F20+1)/(Teams!$G20-Teams!$F20+1),0),IF(T$6&lt;=Teams!$H20,Teams!$E20,ROUND(Teams!$E20*(Teams!$I20-T$6+1)/(Teams!$I20-Teams!$H20),0))))</f>
        <v/>
      </c>
      <c r="U22" s="34">
        <f>IF(OR(U$6&lt;Teams!$F20,U$6&gt;Teams!$I20),0,IF(U$6&lt;Teams!$G20,ROUND(Teams!$E20*(U$6-Teams!$F20+1)/(Teams!$G20-Teams!$F20+1),0),IF(U$6&lt;=Teams!$H20,Teams!$E20,ROUND(Teams!$E20*(Teams!$I20-U$6+1)/(Teams!$I20-Teams!$H20),0))))</f>
        <v/>
      </c>
      <c r="V22" s="34">
        <f>IF(OR(V$6&lt;Teams!$F20,V$6&gt;Teams!$I20),0,IF(V$6&lt;Teams!$G20,ROUND(Teams!$E20*(V$6-Teams!$F20+1)/(Teams!$G20-Teams!$F20+1),0),IF(V$6&lt;=Teams!$H20,Teams!$E20,ROUND(Teams!$E20*(Teams!$I20-V$6+1)/(Teams!$I20-Teams!$H20),0))))</f>
        <v/>
      </c>
      <c r="W22" s="34">
        <f>IF(OR(W$6&lt;Teams!$F20,W$6&gt;Teams!$I20),0,IF(W$6&lt;Teams!$G20,ROUND(Teams!$E20*(W$6-Teams!$F20+1)/(Teams!$G20-Teams!$F20+1),0),IF(W$6&lt;=Teams!$H20,Teams!$E20,ROUND(Teams!$E20*(Teams!$I20-W$6+1)/(Teams!$I20-Teams!$H20),0))))</f>
        <v/>
      </c>
      <c r="X22" s="34">
        <f>IF(OR(X$6&lt;Teams!$F20,X$6&gt;Teams!$I20),0,IF(X$6&lt;Teams!$G20,ROUND(Teams!$E20*(X$6-Teams!$F20+1)/(Teams!$G20-Teams!$F20+1),0),IF(X$6&lt;=Teams!$H20,Teams!$E20,ROUND(Teams!$E20*(Teams!$I20-X$6+1)/(Teams!$I20-Teams!$H20),0))))</f>
        <v/>
      </c>
      <c r="Y22" s="34">
        <f>IF(OR(Y$6&lt;Teams!$F20,Y$6&gt;Teams!$I20),0,IF(Y$6&lt;Teams!$G20,ROUND(Teams!$E20*(Y$6-Teams!$F20+1)/(Teams!$G20-Teams!$F20+1),0),IF(Y$6&lt;=Teams!$H20,Teams!$E20,ROUND(Teams!$E20*(Teams!$I20-Y$6+1)/(Teams!$I20-Teams!$H20),0))))</f>
        <v/>
      </c>
      <c r="Z22" s="34">
        <f>IF(OR(Z$6&lt;Teams!$F20,Z$6&gt;Teams!$I20),0,IF(Z$6&lt;Teams!$G20,ROUND(Teams!$E20*(Z$6-Teams!$F20+1)/(Teams!$G20-Teams!$F20+1),0),IF(Z$6&lt;=Teams!$H20,Teams!$E20,ROUND(Teams!$E20*(Teams!$I20-Z$6+1)/(Teams!$I20-Teams!$H20),0))))</f>
        <v/>
      </c>
      <c r="AA22" s="34">
        <f>IF(OR(AA$6&lt;Teams!$F20,AA$6&gt;Teams!$I20),0,IF(AA$6&lt;Teams!$G20,ROUND(Teams!$E20*(AA$6-Teams!$F20+1)/(Teams!$G20-Teams!$F20+1),0),IF(AA$6&lt;=Teams!$H20,Teams!$E20,ROUND(Teams!$E20*(Teams!$I20-AA$6+1)/(Teams!$I20-Teams!$H20),0))))</f>
        <v/>
      </c>
      <c r="AB22" s="34">
        <f>IF(OR(AB$6&lt;Teams!$F20,AB$6&gt;Teams!$I20),0,IF(AB$6&lt;Teams!$G20,ROUND(Teams!$E20*(AB$6-Teams!$F20+1)/(Teams!$G20-Teams!$F20+1),0),IF(AB$6&lt;=Teams!$H20,Teams!$E20,ROUND(Teams!$E20*(Teams!$I20-AB$6+1)/(Teams!$I20-Teams!$H20),0))))</f>
        <v/>
      </c>
      <c r="AC22" s="34">
        <f>IF(OR(AC$6&lt;Teams!$F20,AC$6&gt;Teams!$I20),0,IF(AC$6&lt;Teams!$G20,ROUND(Teams!$E20*(AC$6-Teams!$F20+1)/(Teams!$G20-Teams!$F20+1),0),IF(AC$6&lt;=Teams!$H20,Teams!$E20,ROUND(Teams!$E20*(Teams!$I20-AC$6+1)/(Teams!$I20-Teams!$H20),0))))</f>
        <v/>
      </c>
      <c r="AD22" s="34">
        <f>IF(OR(AD$6&lt;Teams!$F20,AD$6&gt;Teams!$I20),0,IF(AD$6&lt;Teams!$G20,ROUND(Teams!$E20*(AD$6-Teams!$F20+1)/(Teams!$G20-Teams!$F20+1),0),IF(AD$6&lt;=Teams!$H20,Teams!$E20,ROUND(Teams!$E20*(Teams!$I20-AD$6+1)/(Teams!$I20-Teams!$H20),0))))</f>
        <v/>
      </c>
      <c r="AE22" s="34">
        <f>IF(OR(AE$6&lt;Teams!$F20,AE$6&gt;Teams!$I20),0,IF(AE$6&lt;Teams!$G20,ROUND(Teams!$E20*(AE$6-Teams!$F20+1)/(Teams!$G20-Teams!$F20+1),0),IF(AE$6&lt;=Teams!$H20,Teams!$E20,ROUND(Teams!$E20*(Teams!$I20-AE$6+1)/(Teams!$I20-Teams!$H20),0))))</f>
        <v/>
      </c>
      <c r="AF22" s="34">
        <f>IF(OR(AF$6&lt;Teams!$F20,AF$6&gt;Teams!$I20),0,IF(AF$6&lt;Teams!$G20,ROUND(Teams!$E20*(AF$6-Teams!$F20+1)/(Teams!$G20-Teams!$F20+1),0),IF(AF$6&lt;=Teams!$H20,Teams!$E20,ROUND(Teams!$E20*(Teams!$I20-AF$6+1)/(Teams!$I20-Teams!$H20),0))))</f>
        <v/>
      </c>
      <c r="AG22" s="34">
        <f>IF(OR(AG$6&lt;Teams!$F20,AG$6&gt;Teams!$I20),0,IF(AG$6&lt;Teams!$G20,ROUND(Teams!$E20*(AG$6-Teams!$F20+1)/(Teams!$G20-Teams!$F20+1),0),IF(AG$6&lt;=Teams!$H20,Teams!$E20,ROUND(Teams!$E20*(Teams!$I20-AG$6+1)/(Teams!$I20-Teams!$H20),0))))</f>
        <v/>
      </c>
      <c r="AH22" s="34">
        <f>IF(OR(AH$6&lt;Teams!$F20,AH$6&gt;Teams!$I20),0,IF(AH$6&lt;Teams!$G20,ROUND(Teams!$E20*(AH$6-Teams!$F20+1)/(Teams!$G20-Teams!$F20+1),0),IF(AH$6&lt;=Teams!$H20,Teams!$E20,ROUND(Teams!$E20*(Teams!$I20-AH$6+1)/(Teams!$I20-Teams!$H20),0))))</f>
        <v/>
      </c>
      <c r="AI22" s="34">
        <f>IF(OR(AI$6&lt;Teams!$F20,AI$6&gt;Teams!$I20),0,IF(AI$6&lt;Teams!$G20,ROUND(Teams!$E20*(AI$6-Teams!$F20+1)/(Teams!$G20-Teams!$F20+1),0),IF(AI$6&lt;=Teams!$H20,Teams!$E20,ROUND(Teams!$E20*(Teams!$I20-AI$6+1)/(Teams!$I20-Teams!$H20),0))))</f>
        <v/>
      </c>
      <c r="AJ22" s="34">
        <f>IF(OR(AJ$6&lt;Teams!$F20,AJ$6&gt;Teams!$I20),0,IF(AJ$6&lt;Teams!$G20,ROUND(Teams!$E20*(AJ$6-Teams!$F20+1)/(Teams!$G20-Teams!$F20+1),0),IF(AJ$6&lt;=Teams!$H20,Teams!$E20,ROUND(Teams!$E20*(Teams!$I20-AJ$6+1)/(Teams!$I20-Teams!$H20),0))))</f>
        <v/>
      </c>
      <c r="AK22" s="34">
        <f>IF(OR(AK$6&lt;Teams!$F20,AK$6&gt;Teams!$I20),0,IF(AK$6&lt;Teams!$G20,ROUND(Teams!$E20*(AK$6-Teams!$F20+1)/(Teams!$G20-Teams!$F20+1),0),IF(AK$6&lt;=Teams!$H20,Teams!$E20,ROUND(Teams!$E20*(Teams!$I20-AK$6+1)/(Teams!$I20-Teams!$H20),0))))</f>
        <v/>
      </c>
      <c r="AL22" s="34">
        <f>IF(OR(AL$6&lt;Teams!$F20,AL$6&gt;Teams!$I20),0,IF(AL$6&lt;Teams!$G20,ROUND(Teams!$E20*(AL$6-Teams!$F20+1)/(Teams!$G20-Teams!$F20+1),0),IF(AL$6&lt;=Teams!$H20,Teams!$E20,ROUND(Teams!$E20*(Teams!$I20-AL$6+1)/(Teams!$I20-Teams!$H20),0))))</f>
        <v/>
      </c>
      <c r="AM22" s="34">
        <f>IF(OR(AM$6&lt;Teams!$F20,AM$6&gt;Teams!$I20),0,IF(AM$6&lt;Teams!$G20,ROUND(Teams!$E20*(AM$6-Teams!$F20+1)/(Teams!$G20-Teams!$F20+1),0),IF(AM$6&lt;=Teams!$H20,Teams!$E20,ROUND(Teams!$E20*(Teams!$I20-AM$6+1)/(Teams!$I20-Teams!$H20),0))))</f>
        <v/>
      </c>
      <c r="AN22" s="34">
        <f>IF(OR(AN$6&lt;Teams!$F20,AN$6&gt;Teams!$I20),0,IF(AN$6&lt;Teams!$G20,ROUND(Teams!$E20*(AN$6-Teams!$F20+1)/(Teams!$G20-Teams!$F20+1),0),IF(AN$6&lt;=Teams!$H20,Teams!$E20,ROUND(Teams!$E20*(Teams!$I20-AN$6+1)/(Teams!$I20-Teams!$H20),0))))</f>
        <v/>
      </c>
    </row>
    <row r="23">
      <c r="A23" s="33">
        <f>Teams!A21</f>
        <v/>
      </c>
      <c r="B23" s="33">
        <f>Teams!C21&amp;" — "&amp;Teams!B21</f>
        <v/>
      </c>
      <c r="C23" s="34">
        <f>IF(OR(C$6&lt;Teams!$F21,C$6&gt;Teams!$I21),0,IF(C$6&lt;Teams!$G21,ROUND(Teams!$E21*(C$6-Teams!$F21+1)/(Teams!$G21-Teams!$F21+1),0),IF(C$6&lt;=Teams!$H21,Teams!$E21,ROUND(Teams!$E21*(Teams!$I21-C$6+1)/(Teams!$I21-Teams!$H21),0))))</f>
        <v/>
      </c>
      <c r="D23" s="34">
        <f>IF(OR(D$6&lt;Teams!$F21,D$6&gt;Teams!$I21),0,IF(D$6&lt;Teams!$G21,ROUND(Teams!$E21*(D$6-Teams!$F21+1)/(Teams!$G21-Teams!$F21+1),0),IF(D$6&lt;=Teams!$H21,Teams!$E21,ROUND(Teams!$E21*(Teams!$I21-D$6+1)/(Teams!$I21-Teams!$H21),0))))</f>
        <v/>
      </c>
      <c r="E23" s="34">
        <f>IF(OR(E$6&lt;Teams!$F21,E$6&gt;Teams!$I21),0,IF(E$6&lt;Teams!$G21,ROUND(Teams!$E21*(E$6-Teams!$F21+1)/(Teams!$G21-Teams!$F21+1),0),IF(E$6&lt;=Teams!$H21,Teams!$E21,ROUND(Teams!$E21*(Teams!$I21-E$6+1)/(Teams!$I21-Teams!$H21),0))))</f>
        <v/>
      </c>
      <c r="F23" s="34">
        <f>IF(OR(F$6&lt;Teams!$F21,F$6&gt;Teams!$I21),0,IF(F$6&lt;Teams!$G21,ROUND(Teams!$E21*(F$6-Teams!$F21+1)/(Teams!$G21-Teams!$F21+1),0),IF(F$6&lt;=Teams!$H21,Teams!$E21,ROUND(Teams!$E21*(Teams!$I21-F$6+1)/(Teams!$I21-Teams!$H21),0))))</f>
        <v/>
      </c>
      <c r="G23" s="34">
        <f>IF(OR(G$6&lt;Teams!$F21,G$6&gt;Teams!$I21),0,IF(G$6&lt;Teams!$G21,ROUND(Teams!$E21*(G$6-Teams!$F21+1)/(Teams!$G21-Teams!$F21+1),0),IF(G$6&lt;=Teams!$H21,Teams!$E21,ROUND(Teams!$E21*(Teams!$I21-G$6+1)/(Teams!$I21-Teams!$H21),0))))</f>
        <v/>
      </c>
      <c r="H23" s="34">
        <f>IF(OR(H$6&lt;Teams!$F21,H$6&gt;Teams!$I21),0,IF(H$6&lt;Teams!$G21,ROUND(Teams!$E21*(H$6-Teams!$F21+1)/(Teams!$G21-Teams!$F21+1),0),IF(H$6&lt;=Teams!$H21,Teams!$E21,ROUND(Teams!$E21*(Teams!$I21-H$6+1)/(Teams!$I21-Teams!$H21),0))))</f>
        <v/>
      </c>
      <c r="I23" s="34">
        <f>IF(OR(I$6&lt;Teams!$F21,I$6&gt;Teams!$I21),0,IF(I$6&lt;Teams!$G21,ROUND(Teams!$E21*(I$6-Teams!$F21+1)/(Teams!$G21-Teams!$F21+1),0),IF(I$6&lt;=Teams!$H21,Teams!$E21,ROUND(Teams!$E21*(Teams!$I21-I$6+1)/(Teams!$I21-Teams!$H21),0))))</f>
        <v/>
      </c>
      <c r="J23" s="34">
        <f>IF(OR(J$6&lt;Teams!$F21,J$6&gt;Teams!$I21),0,IF(J$6&lt;Teams!$G21,ROUND(Teams!$E21*(J$6-Teams!$F21+1)/(Teams!$G21-Teams!$F21+1),0),IF(J$6&lt;=Teams!$H21,Teams!$E21,ROUND(Teams!$E21*(Teams!$I21-J$6+1)/(Teams!$I21-Teams!$H21),0))))</f>
        <v/>
      </c>
      <c r="K23" s="34">
        <f>IF(OR(K$6&lt;Teams!$F21,K$6&gt;Teams!$I21),0,IF(K$6&lt;Teams!$G21,ROUND(Teams!$E21*(K$6-Teams!$F21+1)/(Teams!$G21-Teams!$F21+1),0),IF(K$6&lt;=Teams!$H21,Teams!$E21,ROUND(Teams!$E21*(Teams!$I21-K$6+1)/(Teams!$I21-Teams!$H21),0))))</f>
        <v/>
      </c>
      <c r="L23" s="34">
        <f>IF(OR(L$6&lt;Teams!$F21,L$6&gt;Teams!$I21),0,IF(L$6&lt;Teams!$G21,ROUND(Teams!$E21*(L$6-Teams!$F21+1)/(Teams!$G21-Teams!$F21+1),0),IF(L$6&lt;=Teams!$H21,Teams!$E21,ROUND(Teams!$E21*(Teams!$I21-L$6+1)/(Teams!$I21-Teams!$H21),0))))</f>
        <v/>
      </c>
      <c r="M23" s="34">
        <f>IF(OR(M$6&lt;Teams!$F21,M$6&gt;Teams!$I21),0,IF(M$6&lt;Teams!$G21,ROUND(Teams!$E21*(M$6-Teams!$F21+1)/(Teams!$G21-Teams!$F21+1),0),IF(M$6&lt;=Teams!$H21,Teams!$E21,ROUND(Teams!$E21*(Teams!$I21-M$6+1)/(Teams!$I21-Teams!$H21),0))))</f>
        <v/>
      </c>
      <c r="N23" s="34">
        <f>IF(OR(N$6&lt;Teams!$F21,N$6&gt;Teams!$I21),0,IF(N$6&lt;Teams!$G21,ROUND(Teams!$E21*(N$6-Teams!$F21+1)/(Teams!$G21-Teams!$F21+1),0),IF(N$6&lt;=Teams!$H21,Teams!$E21,ROUND(Teams!$E21*(Teams!$I21-N$6+1)/(Teams!$I21-Teams!$H21),0))))</f>
        <v/>
      </c>
      <c r="O23" s="34">
        <f>IF(OR(O$6&lt;Teams!$F21,O$6&gt;Teams!$I21),0,IF(O$6&lt;Teams!$G21,ROUND(Teams!$E21*(O$6-Teams!$F21+1)/(Teams!$G21-Teams!$F21+1),0),IF(O$6&lt;=Teams!$H21,Teams!$E21,ROUND(Teams!$E21*(Teams!$I21-O$6+1)/(Teams!$I21-Teams!$H21),0))))</f>
        <v/>
      </c>
      <c r="P23" s="34">
        <f>IF(OR(P$6&lt;Teams!$F21,P$6&gt;Teams!$I21),0,IF(P$6&lt;Teams!$G21,ROUND(Teams!$E21*(P$6-Teams!$F21+1)/(Teams!$G21-Teams!$F21+1),0),IF(P$6&lt;=Teams!$H21,Teams!$E21,ROUND(Teams!$E21*(Teams!$I21-P$6+1)/(Teams!$I21-Teams!$H21),0))))</f>
        <v/>
      </c>
      <c r="Q23" s="34">
        <f>IF(OR(Q$6&lt;Teams!$F21,Q$6&gt;Teams!$I21),0,IF(Q$6&lt;Teams!$G21,ROUND(Teams!$E21*(Q$6-Teams!$F21+1)/(Teams!$G21-Teams!$F21+1),0),IF(Q$6&lt;=Teams!$H21,Teams!$E21,ROUND(Teams!$E21*(Teams!$I21-Q$6+1)/(Teams!$I21-Teams!$H21),0))))</f>
        <v/>
      </c>
      <c r="R23" s="34">
        <f>IF(OR(R$6&lt;Teams!$F21,R$6&gt;Teams!$I21),0,IF(R$6&lt;Teams!$G21,ROUND(Teams!$E21*(R$6-Teams!$F21+1)/(Teams!$G21-Teams!$F21+1),0),IF(R$6&lt;=Teams!$H21,Teams!$E21,ROUND(Teams!$E21*(Teams!$I21-R$6+1)/(Teams!$I21-Teams!$H21),0))))</f>
        <v/>
      </c>
      <c r="S23" s="34">
        <f>IF(OR(S$6&lt;Teams!$F21,S$6&gt;Teams!$I21),0,IF(S$6&lt;Teams!$G21,ROUND(Teams!$E21*(S$6-Teams!$F21+1)/(Teams!$G21-Teams!$F21+1),0),IF(S$6&lt;=Teams!$H21,Teams!$E21,ROUND(Teams!$E21*(Teams!$I21-S$6+1)/(Teams!$I21-Teams!$H21),0))))</f>
        <v/>
      </c>
      <c r="T23" s="34">
        <f>IF(OR(T$6&lt;Teams!$F21,T$6&gt;Teams!$I21),0,IF(T$6&lt;Teams!$G21,ROUND(Teams!$E21*(T$6-Teams!$F21+1)/(Teams!$G21-Teams!$F21+1),0),IF(T$6&lt;=Teams!$H21,Teams!$E21,ROUND(Teams!$E21*(Teams!$I21-T$6+1)/(Teams!$I21-Teams!$H21),0))))</f>
        <v/>
      </c>
      <c r="U23" s="34">
        <f>IF(OR(U$6&lt;Teams!$F21,U$6&gt;Teams!$I21),0,IF(U$6&lt;Teams!$G21,ROUND(Teams!$E21*(U$6-Teams!$F21+1)/(Teams!$G21-Teams!$F21+1),0),IF(U$6&lt;=Teams!$H21,Teams!$E21,ROUND(Teams!$E21*(Teams!$I21-U$6+1)/(Teams!$I21-Teams!$H21),0))))</f>
        <v/>
      </c>
      <c r="V23" s="34">
        <f>IF(OR(V$6&lt;Teams!$F21,V$6&gt;Teams!$I21),0,IF(V$6&lt;Teams!$G21,ROUND(Teams!$E21*(V$6-Teams!$F21+1)/(Teams!$G21-Teams!$F21+1),0),IF(V$6&lt;=Teams!$H21,Teams!$E21,ROUND(Teams!$E21*(Teams!$I21-V$6+1)/(Teams!$I21-Teams!$H21),0))))</f>
        <v/>
      </c>
      <c r="W23" s="34">
        <f>IF(OR(W$6&lt;Teams!$F21,W$6&gt;Teams!$I21),0,IF(W$6&lt;Teams!$G21,ROUND(Teams!$E21*(W$6-Teams!$F21+1)/(Teams!$G21-Teams!$F21+1),0),IF(W$6&lt;=Teams!$H21,Teams!$E21,ROUND(Teams!$E21*(Teams!$I21-W$6+1)/(Teams!$I21-Teams!$H21),0))))</f>
        <v/>
      </c>
      <c r="X23" s="34">
        <f>IF(OR(X$6&lt;Teams!$F21,X$6&gt;Teams!$I21),0,IF(X$6&lt;Teams!$G21,ROUND(Teams!$E21*(X$6-Teams!$F21+1)/(Teams!$G21-Teams!$F21+1),0),IF(X$6&lt;=Teams!$H21,Teams!$E21,ROUND(Teams!$E21*(Teams!$I21-X$6+1)/(Teams!$I21-Teams!$H21),0))))</f>
        <v/>
      </c>
      <c r="Y23" s="34">
        <f>IF(OR(Y$6&lt;Teams!$F21,Y$6&gt;Teams!$I21),0,IF(Y$6&lt;Teams!$G21,ROUND(Teams!$E21*(Y$6-Teams!$F21+1)/(Teams!$G21-Teams!$F21+1),0),IF(Y$6&lt;=Teams!$H21,Teams!$E21,ROUND(Teams!$E21*(Teams!$I21-Y$6+1)/(Teams!$I21-Teams!$H21),0))))</f>
        <v/>
      </c>
      <c r="Z23" s="34">
        <f>IF(OR(Z$6&lt;Teams!$F21,Z$6&gt;Teams!$I21),0,IF(Z$6&lt;Teams!$G21,ROUND(Teams!$E21*(Z$6-Teams!$F21+1)/(Teams!$G21-Teams!$F21+1),0),IF(Z$6&lt;=Teams!$H21,Teams!$E21,ROUND(Teams!$E21*(Teams!$I21-Z$6+1)/(Teams!$I21-Teams!$H21),0))))</f>
        <v/>
      </c>
      <c r="AA23" s="34">
        <f>IF(OR(AA$6&lt;Teams!$F21,AA$6&gt;Teams!$I21),0,IF(AA$6&lt;Teams!$G21,ROUND(Teams!$E21*(AA$6-Teams!$F21+1)/(Teams!$G21-Teams!$F21+1),0),IF(AA$6&lt;=Teams!$H21,Teams!$E21,ROUND(Teams!$E21*(Teams!$I21-AA$6+1)/(Teams!$I21-Teams!$H21),0))))</f>
        <v/>
      </c>
      <c r="AB23" s="34">
        <f>IF(OR(AB$6&lt;Teams!$F21,AB$6&gt;Teams!$I21),0,IF(AB$6&lt;Teams!$G21,ROUND(Teams!$E21*(AB$6-Teams!$F21+1)/(Teams!$G21-Teams!$F21+1),0),IF(AB$6&lt;=Teams!$H21,Teams!$E21,ROUND(Teams!$E21*(Teams!$I21-AB$6+1)/(Teams!$I21-Teams!$H21),0))))</f>
        <v/>
      </c>
      <c r="AC23" s="34">
        <f>IF(OR(AC$6&lt;Teams!$F21,AC$6&gt;Teams!$I21),0,IF(AC$6&lt;Teams!$G21,ROUND(Teams!$E21*(AC$6-Teams!$F21+1)/(Teams!$G21-Teams!$F21+1),0),IF(AC$6&lt;=Teams!$H21,Teams!$E21,ROUND(Teams!$E21*(Teams!$I21-AC$6+1)/(Teams!$I21-Teams!$H21),0))))</f>
        <v/>
      </c>
      <c r="AD23" s="34">
        <f>IF(OR(AD$6&lt;Teams!$F21,AD$6&gt;Teams!$I21),0,IF(AD$6&lt;Teams!$G21,ROUND(Teams!$E21*(AD$6-Teams!$F21+1)/(Teams!$G21-Teams!$F21+1),0),IF(AD$6&lt;=Teams!$H21,Teams!$E21,ROUND(Teams!$E21*(Teams!$I21-AD$6+1)/(Teams!$I21-Teams!$H21),0))))</f>
        <v/>
      </c>
      <c r="AE23" s="34">
        <f>IF(OR(AE$6&lt;Teams!$F21,AE$6&gt;Teams!$I21),0,IF(AE$6&lt;Teams!$G21,ROUND(Teams!$E21*(AE$6-Teams!$F21+1)/(Teams!$G21-Teams!$F21+1),0),IF(AE$6&lt;=Teams!$H21,Teams!$E21,ROUND(Teams!$E21*(Teams!$I21-AE$6+1)/(Teams!$I21-Teams!$H21),0))))</f>
        <v/>
      </c>
      <c r="AF23" s="34">
        <f>IF(OR(AF$6&lt;Teams!$F21,AF$6&gt;Teams!$I21),0,IF(AF$6&lt;Teams!$G21,ROUND(Teams!$E21*(AF$6-Teams!$F21+1)/(Teams!$G21-Teams!$F21+1),0),IF(AF$6&lt;=Teams!$H21,Teams!$E21,ROUND(Teams!$E21*(Teams!$I21-AF$6+1)/(Teams!$I21-Teams!$H21),0))))</f>
        <v/>
      </c>
      <c r="AG23" s="34">
        <f>IF(OR(AG$6&lt;Teams!$F21,AG$6&gt;Teams!$I21),0,IF(AG$6&lt;Teams!$G21,ROUND(Teams!$E21*(AG$6-Teams!$F21+1)/(Teams!$G21-Teams!$F21+1),0),IF(AG$6&lt;=Teams!$H21,Teams!$E21,ROUND(Teams!$E21*(Teams!$I21-AG$6+1)/(Teams!$I21-Teams!$H21),0))))</f>
        <v/>
      </c>
      <c r="AH23" s="34">
        <f>IF(OR(AH$6&lt;Teams!$F21,AH$6&gt;Teams!$I21),0,IF(AH$6&lt;Teams!$G21,ROUND(Teams!$E21*(AH$6-Teams!$F21+1)/(Teams!$G21-Teams!$F21+1),0),IF(AH$6&lt;=Teams!$H21,Teams!$E21,ROUND(Teams!$E21*(Teams!$I21-AH$6+1)/(Teams!$I21-Teams!$H21),0))))</f>
        <v/>
      </c>
      <c r="AI23" s="34">
        <f>IF(OR(AI$6&lt;Teams!$F21,AI$6&gt;Teams!$I21),0,IF(AI$6&lt;Teams!$G21,ROUND(Teams!$E21*(AI$6-Teams!$F21+1)/(Teams!$G21-Teams!$F21+1),0),IF(AI$6&lt;=Teams!$H21,Teams!$E21,ROUND(Teams!$E21*(Teams!$I21-AI$6+1)/(Teams!$I21-Teams!$H21),0))))</f>
        <v/>
      </c>
      <c r="AJ23" s="34">
        <f>IF(OR(AJ$6&lt;Teams!$F21,AJ$6&gt;Teams!$I21),0,IF(AJ$6&lt;Teams!$G21,ROUND(Teams!$E21*(AJ$6-Teams!$F21+1)/(Teams!$G21-Teams!$F21+1),0),IF(AJ$6&lt;=Teams!$H21,Teams!$E21,ROUND(Teams!$E21*(Teams!$I21-AJ$6+1)/(Teams!$I21-Teams!$H21),0))))</f>
        <v/>
      </c>
      <c r="AK23" s="34">
        <f>IF(OR(AK$6&lt;Teams!$F21,AK$6&gt;Teams!$I21),0,IF(AK$6&lt;Teams!$G21,ROUND(Teams!$E21*(AK$6-Teams!$F21+1)/(Teams!$G21-Teams!$F21+1),0),IF(AK$6&lt;=Teams!$H21,Teams!$E21,ROUND(Teams!$E21*(Teams!$I21-AK$6+1)/(Teams!$I21-Teams!$H21),0))))</f>
        <v/>
      </c>
      <c r="AL23" s="34">
        <f>IF(OR(AL$6&lt;Teams!$F21,AL$6&gt;Teams!$I21),0,IF(AL$6&lt;Teams!$G21,ROUND(Teams!$E21*(AL$6-Teams!$F21+1)/(Teams!$G21-Teams!$F21+1),0),IF(AL$6&lt;=Teams!$H21,Teams!$E21,ROUND(Teams!$E21*(Teams!$I21-AL$6+1)/(Teams!$I21-Teams!$H21),0))))</f>
        <v/>
      </c>
      <c r="AM23" s="34">
        <f>IF(OR(AM$6&lt;Teams!$F21,AM$6&gt;Teams!$I21),0,IF(AM$6&lt;Teams!$G21,ROUND(Teams!$E21*(AM$6-Teams!$F21+1)/(Teams!$G21-Teams!$F21+1),0),IF(AM$6&lt;=Teams!$H21,Teams!$E21,ROUND(Teams!$E21*(Teams!$I21-AM$6+1)/(Teams!$I21-Teams!$H21),0))))</f>
        <v/>
      </c>
      <c r="AN23" s="34">
        <f>IF(OR(AN$6&lt;Teams!$F21,AN$6&gt;Teams!$I21),0,IF(AN$6&lt;Teams!$G21,ROUND(Teams!$E21*(AN$6-Teams!$F21+1)/(Teams!$G21-Teams!$F21+1),0),IF(AN$6&lt;=Teams!$H21,Teams!$E21,ROUND(Teams!$E21*(Teams!$I21-AN$6+1)/(Teams!$I21-Teams!$H21),0))))</f>
        <v/>
      </c>
    </row>
    <row r="24">
      <c r="A24" s="33">
        <f>Teams!A22</f>
        <v/>
      </c>
      <c r="B24" s="33">
        <f>Teams!C22&amp;" — "&amp;Teams!B22</f>
        <v/>
      </c>
      <c r="C24" s="34">
        <f>IF(OR(C$6&lt;Teams!$F22,C$6&gt;Teams!$I22),0,IF(C$6&lt;Teams!$G22,ROUND(Teams!$E22*(C$6-Teams!$F22+1)/(Teams!$G22-Teams!$F22+1),0),IF(C$6&lt;=Teams!$H22,Teams!$E22,ROUND(Teams!$E22*(Teams!$I22-C$6+1)/(Teams!$I22-Teams!$H22),0))))</f>
        <v/>
      </c>
      <c r="D24" s="34">
        <f>IF(OR(D$6&lt;Teams!$F22,D$6&gt;Teams!$I22),0,IF(D$6&lt;Teams!$G22,ROUND(Teams!$E22*(D$6-Teams!$F22+1)/(Teams!$G22-Teams!$F22+1),0),IF(D$6&lt;=Teams!$H22,Teams!$E22,ROUND(Teams!$E22*(Teams!$I22-D$6+1)/(Teams!$I22-Teams!$H22),0))))</f>
        <v/>
      </c>
      <c r="E24" s="34">
        <f>IF(OR(E$6&lt;Teams!$F22,E$6&gt;Teams!$I22),0,IF(E$6&lt;Teams!$G22,ROUND(Teams!$E22*(E$6-Teams!$F22+1)/(Teams!$G22-Teams!$F22+1),0),IF(E$6&lt;=Teams!$H22,Teams!$E22,ROUND(Teams!$E22*(Teams!$I22-E$6+1)/(Teams!$I22-Teams!$H22),0))))</f>
        <v/>
      </c>
      <c r="F24" s="34">
        <f>IF(OR(F$6&lt;Teams!$F22,F$6&gt;Teams!$I22),0,IF(F$6&lt;Teams!$G22,ROUND(Teams!$E22*(F$6-Teams!$F22+1)/(Teams!$G22-Teams!$F22+1),0),IF(F$6&lt;=Teams!$H22,Teams!$E22,ROUND(Teams!$E22*(Teams!$I22-F$6+1)/(Teams!$I22-Teams!$H22),0))))</f>
        <v/>
      </c>
      <c r="G24" s="34">
        <f>IF(OR(G$6&lt;Teams!$F22,G$6&gt;Teams!$I22),0,IF(G$6&lt;Teams!$G22,ROUND(Teams!$E22*(G$6-Teams!$F22+1)/(Teams!$G22-Teams!$F22+1),0),IF(G$6&lt;=Teams!$H22,Teams!$E22,ROUND(Teams!$E22*(Teams!$I22-G$6+1)/(Teams!$I22-Teams!$H22),0))))</f>
        <v/>
      </c>
      <c r="H24" s="34">
        <f>IF(OR(H$6&lt;Teams!$F22,H$6&gt;Teams!$I22),0,IF(H$6&lt;Teams!$G22,ROUND(Teams!$E22*(H$6-Teams!$F22+1)/(Teams!$G22-Teams!$F22+1),0),IF(H$6&lt;=Teams!$H22,Teams!$E22,ROUND(Teams!$E22*(Teams!$I22-H$6+1)/(Teams!$I22-Teams!$H22),0))))</f>
        <v/>
      </c>
      <c r="I24" s="34">
        <f>IF(OR(I$6&lt;Teams!$F22,I$6&gt;Teams!$I22),0,IF(I$6&lt;Teams!$G22,ROUND(Teams!$E22*(I$6-Teams!$F22+1)/(Teams!$G22-Teams!$F22+1),0),IF(I$6&lt;=Teams!$H22,Teams!$E22,ROUND(Teams!$E22*(Teams!$I22-I$6+1)/(Teams!$I22-Teams!$H22),0))))</f>
        <v/>
      </c>
      <c r="J24" s="34">
        <f>IF(OR(J$6&lt;Teams!$F22,J$6&gt;Teams!$I22),0,IF(J$6&lt;Teams!$G22,ROUND(Teams!$E22*(J$6-Teams!$F22+1)/(Teams!$G22-Teams!$F22+1),0),IF(J$6&lt;=Teams!$H22,Teams!$E22,ROUND(Teams!$E22*(Teams!$I22-J$6+1)/(Teams!$I22-Teams!$H22),0))))</f>
        <v/>
      </c>
      <c r="K24" s="34">
        <f>IF(OR(K$6&lt;Teams!$F22,K$6&gt;Teams!$I22),0,IF(K$6&lt;Teams!$G22,ROUND(Teams!$E22*(K$6-Teams!$F22+1)/(Teams!$G22-Teams!$F22+1),0),IF(K$6&lt;=Teams!$H22,Teams!$E22,ROUND(Teams!$E22*(Teams!$I22-K$6+1)/(Teams!$I22-Teams!$H22),0))))</f>
        <v/>
      </c>
      <c r="L24" s="34">
        <f>IF(OR(L$6&lt;Teams!$F22,L$6&gt;Teams!$I22),0,IF(L$6&lt;Teams!$G22,ROUND(Teams!$E22*(L$6-Teams!$F22+1)/(Teams!$G22-Teams!$F22+1),0),IF(L$6&lt;=Teams!$H22,Teams!$E22,ROUND(Teams!$E22*(Teams!$I22-L$6+1)/(Teams!$I22-Teams!$H22),0))))</f>
        <v/>
      </c>
      <c r="M24" s="34">
        <f>IF(OR(M$6&lt;Teams!$F22,M$6&gt;Teams!$I22),0,IF(M$6&lt;Teams!$G22,ROUND(Teams!$E22*(M$6-Teams!$F22+1)/(Teams!$G22-Teams!$F22+1),0),IF(M$6&lt;=Teams!$H22,Teams!$E22,ROUND(Teams!$E22*(Teams!$I22-M$6+1)/(Teams!$I22-Teams!$H22),0))))</f>
        <v/>
      </c>
      <c r="N24" s="34">
        <f>IF(OR(N$6&lt;Teams!$F22,N$6&gt;Teams!$I22),0,IF(N$6&lt;Teams!$G22,ROUND(Teams!$E22*(N$6-Teams!$F22+1)/(Teams!$G22-Teams!$F22+1),0),IF(N$6&lt;=Teams!$H22,Teams!$E22,ROUND(Teams!$E22*(Teams!$I22-N$6+1)/(Teams!$I22-Teams!$H22),0))))</f>
        <v/>
      </c>
      <c r="O24" s="34">
        <f>IF(OR(O$6&lt;Teams!$F22,O$6&gt;Teams!$I22),0,IF(O$6&lt;Teams!$G22,ROUND(Teams!$E22*(O$6-Teams!$F22+1)/(Teams!$G22-Teams!$F22+1),0),IF(O$6&lt;=Teams!$H22,Teams!$E22,ROUND(Teams!$E22*(Teams!$I22-O$6+1)/(Teams!$I22-Teams!$H22),0))))</f>
        <v/>
      </c>
      <c r="P24" s="34">
        <f>IF(OR(P$6&lt;Teams!$F22,P$6&gt;Teams!$I22),0,IF(P$6&lt;Teams!$G22,ROUND(Teams!$E22*(P$6-Teams!$F22+1)/(Teams!$G22-Teams!$F22+1),0),IF(P$6&lt;=Teams!$H22,Teams!$E22,ROUND(Teams!$E22*(Teams!$I22-P$6+1)/(Teams!$I22-Teams!$H22),0))))</f>
        <v/>
      </c>
      <c r="Q24" s="34">
        <f>IF(OR(Q$6&lt;Teams!$F22,Q$6&gt;Teams!$I22),0,IF(Q$6&lt;Teams!$G22,ROUND(Teams!$E22*(Q$6-Teams!$F22+1)/(Teams!$G22-Teams!$F22+1),0),IF(Q$6&lt;=Teams!$H22,Teams!$E22,ROUND(Teams!$E22*(Teams!$I22-Q$6+1)/(Teams!$I22-Teams!$H22),0))))</f>
        <v/>
      </c>
      <c r="R24" s="34">
        <f>IF(OR(R$6&lt;Teams!$F22,R$6&gt;Teams!$I22),0,IF(R$6&lt;Teams!$G22,ROUND(Teams!$E22*(R$6-Teams!$F22+1)/(Teams!$G22-Teams!$F22+1),0),IF(R$6&lt;=Teams!$H22,Teams!$E22,ROUND(Teams!$E22*(Teams!$I22-R$6+1)/(Teams!$I22-Teams!$H22),0))))</f>
        <v/>
      </c>
      <c r="S24" s="34">
        <f>IF(OR(S$6&lt;Teams!$F22,S$6&gt;Teams!$I22),0,IF(S$6&lt;Teams!$G22,ROUND(Teams!$E22*(S$6-Teams!$F22+1)/(Teams!$G22-Teams!$F22+1),0),IF(S$6&lt;=Teams!$H22,Teams!$E22,ROUND(Teams!$E22*(Teams!$I22-S$6+1)/(Teams!$I22-Teams!$H22),0))))</f>
        <v/>
      </c>
      <c r="T24" s="34">
        <f>IF(OR(T$6&lt;Teams!$F22,T$6&gt;Teams!$I22),0,IF(T$6&lt;Teams!$G22,ROUND(Teams!$E22*(T$6-Teams!$F22+1)/(Teams!$G22-Teams!$F22+1),0),IF(T$6&lt;=Teams!$H22,Teams!$E22,ROUND(Teams!$E22*(Teams!$I22-T$6+1)/(Teams!$I22-Teams!$H22),0))))</f>
        <v/>
      </c>
      <c r="U24" s="34">
        <f>IF(OR(U$6&lt;Teams!$F22,U$6&gt;Teams!$I22),0,IF(U$6&lt;Teams!$G22,ROUND(Teams!$E22*(U$6-Teams!$F22+1)/(Teams!$G22-Teams!$F22+1),0),IF(U$6&lt;=Teams!$H22,Teams!$E22,ROUND(Teams!$E22*(Teams!$I22-U$6+1)/(Teams!$I22-Teams!$H22),0))))</f>
        <v/>
      </c>
      <c r="V24" s="34">
        <f>IF(OR(V$6&lt;Teams!$F22,V$6&gt;Teams!$I22),0,IF(V$6&lt;Teams!$G22,ROUND(Teams!$E22*(V$6-Teams!$F22+1)/(Teams!$G22-Teams!$F22+1),0),IF(V$6&lt;=Teams!$H22,Teams!$E22,ROUND(Teams!$E22*(Teams!$I22-V$6+1)/(Teams!$I22-Teams!$H22),0))))</f>
        <v/>
      </c>
      <c r="W24" s="34">
        <f>IF(OR(W$6&lt;Teams!$F22,W$6&gt;Teams!$I22),0,IF(W$6&lt;Teams!$G22,ROUND(Teams!$E22*(W$6-Teams!$F22+1)/(Teams!$G22-Teams!$F22+1),0),IF(W$6&lt;=Teams!$H22,Teams!$E22,ROUND(Teams!$E22*(Teams!$I22-W$6+1)/(Teams!$I22-Teams!$H22),0))))</f>
        <v/>
      </c>
      <c r="X24" s="34">
        <f>IF(OR(X$6&lt;Teams!$F22,X$6&gt;Teams!$I22),0,IF(X$6&lt;Teams!$G22,ROUND(Teams!$E22*(X$6-Teams!$F22+1)/(Teams!$G22-Teams!$F22+1),0),IF(X$6&lt;=Teams!$H22,Teams!$E22,ROUND(Teams!$E22*(Teams!$I22-X$6+1)/(Teams!$I22-Teams!$H22),0))))</f>
        <v/>
      </c>
      <c r="Y24" s="34">
        <f>IF(OR(Y$6&lt;Teams!$F22,Y$6&gt;Teams!$I22),0,IF(Y$6&lt;Teams!$G22,ROUND(Teams!$E22*(Y$6-Teams!$F22+1)/(Teams!$G22-Teams!$F22+1),0),IF(Y$6&lt;=Teams!$H22,Teams!$E22,ROUND(Teams!$E22*(Teams!$I22-Y$6+1)/(Teams!$I22-Teams!$H22),0))))</f>
        <v/>
      </c>
      <c r="Z24" s="34">
        <f>IF(OR(Z$6&lt;Teams!$F22,Z$6&gt;Teams!$I22),0,IF(Z$6&lt;Teams!$G22,ROUND(Teams!$E22*(Z$6-Teams!$F22+1)/(Teams!$G22-Teams!$F22+1),0),IF(Z$6&lt;=Teams!$H22,Teams!$E22,ROUND(Teams!$E22*(Teams!$I22-Z$6+1)/(Teams!$I22-Teams!$H22),0))))</f>
        <v/>
      </c>
      <c r="AA24" s="34">
        <f>IF(OR(AA$6&lt;Teams!$F22,AA$6&gt;Teams!$I22),0,IF(AA$6&lt;Teams!$G22,ROUND(Teams!$E22*(AA$6-Teams!$F22+1)/(Teams!$G22-Teams!$F22+1),0),IF(AA$6&lt;=Teams!$H22,Teams!$E22,ROUND(Teams!$E22*(Teams!$I22-AA$6+1)/(Teams!$I22-Teams!$H22),0))))</f>
        <v/>
      </c>
      <c r="AB24" s="34">
        <f>IF(OR(AB$6&lt;Teams!$F22,AB$6&gt;Teams!$I22),0,IF(AB$6&lt;Teams!$G22,ROUND(Teams!$E22*(AB$6-Teams!$F22+1)/(Teams!$G22-Teams!$F22+1),0),IF(AB$6&lt;=Teams!$H22,Teams!$E22,ROUND(Teams!$E22*(Teams!$I22-AB$6+1)/(Teams!$I22-Teams!$H22),0))))</f>
        <v/>
      </c>
      <c r="AC24" s="34">
        <f>IF(OR(AC$6&lt;Teams!$F22,AC$6&gt;Teams!$I22),0,IF(AC$6&lt;Teams!$G22,ROUND(Teams!$E22*(AC$6-Teams!$F22+1)/(Teams!$G22-Teams!$F22+1),0),IF(AC$6&lt;=Teams!$H22,Teams!$E22,ROUND(Teams!$E22*(Teams!$I22-AC$6+1)/(Teams!$I22-Teams!$H22),0))))</f>
        <v/>
      </c>
      <c r="AD24" s="34">
        <f>IF(OR(AD$6&lt;Teams!$F22,AD$6&gt;Teams!$I22),0,IF(AD$6&lt;Teams!$G22,ROUND(Teams!$E22*(AD$6-Teams!$F22+1)/(Teams!$G22-Teams!$F22+1),0),IF(AD$6&lt;=Teams!$H22,Teams!$E22,ROUND(Teams!$E22*(Teams!$I22-AD$6+1)/(Teams!$I22-Teams!$H22),0))))</f>
        <v/>
      </c>
      <c r="AE24" s="34">
        <f>IF(OR(AE$6&lt;Teams!$F22,AE$6&gt;Teams!$I22),0,IF(AE$6&lt;Teams!$G22,ROUND(Teams!$E22*(AE$6-Teams!$F22+1)/(Teams!$G22-Teams!$F22+1),0),IF(AE$6&lt;=Teams!$H22,Teams!$E22,ROUND(Teams!$E22*(Teams!$I22-AE$6+1)/(Teams!$I22-Teams!$H22),0))))</f>
        <v/>
      </c>
      <c r="AF24" s="34">
        <f>IF(OR(AF$6&lt;Teams!$F22,AF$6&gt;Teams!$I22),0,IF(AF$6&lt;Teams!$G22,ROUND(Teams!$E22*(AF$6-Teams!$F22+1)/(Teams!$G22-Teams!$F22+1),0),IF(AF$6&lt;=Teams!$H22,Teams!$E22,ROUND(Teams!$E22*(Teams!$I22-AF$6+1)/(Teams!$I22-Teams!$H22),0))))</f>
        <v/>
      </c>
      <c r="AG24" s="34">
        <f>IF(OR(AG$6&lt;Teams!$F22,AG$6&gt;Teams!$I22),0,IF(AG$6&lt;Teams!$G22,ROUND(Teams!$E22*(AG$6-Teams!$F22+1)/(Teams!$G22-Teams!$F22+1),0),IF(AG$6&lt;=Teams!$H22,Teams!$E22,ROUND(Teams!$E22*(Teams!$I22-AG$6+1)/(Teams!$I22-Teams!$H22),0))))</f>
        <v/>
      </c>
      <c r="AH24" s="34">
        <f>IF(OR(AH$6&lt;Teams!$F22,AH$6&gt;Teams!$I22),0,IF(AH$6&lt;Teams!$G22,ROUND(Teams!$E22*(AH$6-Teams!$F22+1)/(Teams!$G22-Teams!$F22+1),0),IF(AH$6&lt;=Teams!$H22,Teams!$E22,ROUND(Teams!$E22*(Teams!$I22-AH$6+1)/(Teams!$I22-Teams!$H22),0))))</f>
        <v/>
      </c>
      <c r="AI24" s="34">
        <f>IF(OR(AI$6&lt;Teams!$F22,AI$6&gt;Teams!$I22),0,IF(AI$6&lt;Teams!$G22,ROUND(Teams!$E22*(AI$6-Teams!$F22+1)/(Teams!$G22-Teams!$F22+1),0),IF(AI$6&lt;=Teams!$H22,Teams!$E22,ROUND(Teams!$E22*(Teams!$I22-AI$6+1)/(Teams!$I22-Teams!$H22),0))))</f>
        <v/>
      </c>
      <c r="AJ24" s="34">
        <f>IF(OR(AJ$6&lt;Teams!$F22,AJ$6&gt;Teams!$I22),0,IF(AJ$6&lt;Teams!$G22,ROUND(Teams!$E22*(AJ$6-Teams!$F22+1)/(Teams!$G22-Teams!$F22+1),0),IF(AJ$6&lt;=Teams!$H22,Teams!$E22,ROUND(Teams!$E22*(Teams!$I22-AJ$6+1)/(Teams!$I22-Teams!$H22),0))))</f>
        <v/>
      </c>
      <c r="AK24" s="34">
        <f>IF(OR(AK$6&lt;Teams!$F22,AK$6&gt;Teams!$I22),0,IF(AK$6&lt;Teams!$G22,ROUND(Teams!$E22*(AK$6-Teams!$F22+1)/(Teams!$G22-Teams!$F22+1),0),IF(AK$6&lt;=Teams!$H22,Teams!$E22,ROUND(Teams!$E22*(Teams!$I22-AK$6+1)/(Teams!$I22-Teams!$H22),0))))</f>
        <v/>
      </c>
      <c r="AL24" s="34">
        <f>IF(OR(AL$6&lt;Teams!$F22,AL$6&gt;Teams!$I22),0,IF(AL$6&lt;Teams!$G22,ROUND(Teams!$E22*(AL$6-Teams!$F22+1)/(Teams!$G22-Teams!$F22+1),0),IF(AL$6&lt;=Teams!$H22,Teams!$E22,ROUND(Teams!$E22*(Teams!$I22-AL$6+1)/(Teams!$I22-Teams!$H22),0))))</f>
        <v/>
      </c>
      <c r="AM24" s="34">
        <f>IF(OR(AM$6&lt;Teams!$F22,AM$6&gt;Teams!$I22),0,IF(AM$6&lt;Teams!$G22,ROUND(Teams!$E22*(AM$6-Teams!$F22+1)/(Teams!$G22-Teams!$F22+1),0),IF(AM$6&lt;=Teams!$H22,Teams!$E22,ROUND(Teams!$E22*(Teams!$I22-AM$6+1)/(Teams!$I22-Teams!$H22),0))))</f>
        <v/>
      </c>
      <c r="AN24" s="34">
        <f>IF(OR(AN$6&lt;Teams!$F22,AN$6&gt;Teams!$I22),0,IF(AN$6&lt;Teams!$G22,ROUND(Teams!$E22*(AN$6-Teams!$F22+1)/(Teams!$G22-Teams!$F22+1),0),IF(AN$6&lt;=Teams!$H22,Teams!$E22,ROUND(Teams!$E22*(Teams!$I22-AN$6+1)/(Teams!$I22-Teams!$H22),0))))</f>
        <v/>
      </c>
    </row>
    <row r="25">
      <c r="A25" s="33">
        <f>Teams!A23</f>
        <v/>
      </c>
      <c r="B25" s="33">
        <f>Teams!C23&amp;" — "&amp;Teams!B23</f>
        <v/>
      </c>
      <c r="C25" s="34">
        <f>IF(OR(C$6&lt;Teams!$F23,C$6&gt;Teams!$I23),0,IF(C$6&lt;Teams!$G23,ROUND(Teams!$E23*(C$6-Teams!$F23+1)/(Teams!$G23-Teams!$F23+1),0),IF(C$6&lt;=Teams!$H23,Teams!$E23,ROUND(Teams!$E23*(Teams!$I23-C$6+1)/(Teams!$I23-Teams!$H23),0))))</f>
        <v/>
      </c>
      <c r="D25" s="34">
        <f>IF(OR(D$6&lt;Teams!$F23,D$6&gt;Teams!$I23),0,IF(D$6&lt;Teams!$G23,ROUND(Teams!$E23*(D$6-Teams!$F23+1)/(Teams!$G23-Teams!$F23+1),0),IF(D$6&lt;=Teams!$H23,Teams!$E23,ROUND(Teams!$E23*(Teams!$I23-D$6+1)/(Teams!$I23-Teams!$H23),0))))</f>
        <v/>
      </c>
      <c r="E25" s="34">
        <f>IF(OR(E$6&lt;Teams!$F23,E$6&gt;Teams!$I23),0,IF(E$6&lt;Teams!$G23,ROUND(Teams!$E23*(E$6-Teams!$F23+1)/(Teams!$G23-Teams!$F23+1),0),IF(E$6&lt;=Teams!$H23,Teams!$E23,ROUND(Teams!$E23*(Teams!$I23-E$6+1)/(Teams!$I23-Teams!$H23),0))))</f>
        <v/>
      </c>
      <c r="F25" s="34">
        <f>IF(OR(F$6&lt;Teams!$F23,F$6&gt;Teams!$I23),0,IF(F$6&lt;Teams!$G23,ROUND(Teams!$E23*(F$6-Teams!$F23+1)/(Teams!$G23-Teams!$F23+1),0),IF(F$6&lt;=Teams!$H23,Teams!$E23,ROUND(Teams!$E23*(Teams!$I23-F$6+1)/(Teams!$I23-Teams!$H23),0))))</f>
        <v/>
      </c>
      <c r="G25" s="34">
        <f>IF(OR(G$6&lt;Teams!$F23,G$6&gt;Teams!$I23),0,IF(G$6&lt;Teams!$G23,ROUND(Teams!$E23*(G$6-Teams!$F23+1)/(Teams!$G23-Teams!$F23+1),0),IF(G$6&lt;=Teams!$H23,Teams!$E23,ROUND(Teams!$E23*(Teams!$I23-G$6+1)/(Teams!$I23-Teams!$H23),0))))</f>
        <v/>
      </c>
      <c r="H25" s="34">
        <f>IF(OR(H$6&lt;Teams!$F23,H$6&gt;Teams!$I23),0,IF(H$6&lt;Teams!$G23,ROUND(Teams!$E23*(H$6-Teams!$F23+1)/(Teams!$G23-Teams!$F23+1),0),IF(H$6&lt;=Teams!$H23,Teams!$E23,ROUND(Teams!$E23*(Teams!$I23-H$6+1)/(Teams!$I23-Teams!$H23),0))))</f>
        <v/>
      </c>
      <c r="I25" s="34">
        <f>IF(OR(I$6&lt;Teams!$F23,I$6&gt;Teams!$I23),0,IF(I$6&lt;Teams!$G23,ROUND(Teams!$E23*(I$6-Teams!$F23+1)/(Teams!$G23-Teams!$F23+1),0),IF(I$6&lt;=Teams!$H23,Teams!$E23,ROUND(Teams!$E23*(Teams!$I23-I$6+1)/(Teams!$I23-Teams!$H23),0))))</f>
        <v/>
      </c>
      <c r="J25" s="34">
        <f>IF(OR(J$6&lt;Teams!$F23,J$6&gt;Teams!$I23),0,IF(J$6&lt;Teams!$G23,ROUND(Teams!$E23*(J$6-Teams!$F23+1)/(Teams!$G23-Teams!$F23+1),0),IF(J$6&lt;=Teams!$H23,Teams!$E23,ROUND(Teams!$E23*(Teams!$I23-J$6+1)/(Teams!$I23-Teams!$H23),0))))</f>
        <v/>
      </c>
      <c r="K25" s="34">
        <f>IF(OR(K$6&lt;Teams!$F23,K$6&gt;Teams!$I23),0,IF(K$6&lt;Teams!$G23,ROUND(Teams!$E23*(K$6-Teams!$F23+1)/(Teams!$G23-Teams!$F23+1),0),IF(K$6&lt;=Teams!$H23,Teams!$E23,ROUND(Teams!$E23*(Teams!$I23-K$6+1)/(Teams!$I23-Teams!$H23),0))))</f>
        <v/>
      </c>
      <c r="L25" s="34">
        <f>IF(OR(L$6&lt;Teams!$F23,L$6&gt;Teams!$I23),0,IF(L$6&lt;Teams!$G23,ROUND(Teams!$E23*(L$6-Teams!$F23+1)/(Teams!$G23-Teams!$F23+1),0),IF(L$6&lt;=Teams!$H23,Teams!$E23,ROUND(Teams!$E23*(Teams!$I23-L$6+1)/(Teams!$I23-Teams!$H23),0))))</f>
        <v/>
      </c>
      <c r="M25" s="34">
        <f>IF(OR(M$6&lt;Teams!$F23,M$6&gt;Teams!$I23),0,IF(M$6&lt;Teams!$G23,ROUND(Teams!$E23*(M$6-Teams!$F23+1)/(Teams!$G23-Teams!$F23+1),0),IF(M$6&lt;=Teams!$H23,Teams!$E23,ROUND(Teams!$E23*(Teams!$I23-M$6+1)/(Teams!$I23-Teams!$H23),0))))</f>
        <v/>
      </c>
      <c r="N25" s="34">
        <f>IF(OR(N$6&lt;Teams!$F23,N$6&gt;Teams!$I23),0,IF(N$6&lt;Teams!$G23,ROUND(Teams!$E23*(N$6-Teams!$F23+1)/(Teams!$G23-Teams!$F23+1),0),IF(N$6&lt;=Teams!$H23,Teams!$E23,ROUND(Teams!$E23*(Teams!$I23-N$6+1)/(Teams!$I23-Teams!$H23),0))))</f>
        <v/>
      </c>
      <c r="O25" s="34">
        <f>IF(OR(O$6&lt;Teams!$F23,O$6&gt;Teams!$I23),0,IF(O$6&lt;Teams!$G23,ROUND(Teams!$E23*(O$6-Teams!$F23+1)/(Teams!$G23-Teams!$F23+1),0),IF(O$6&lt;=Teams!$H23,Teams!$E23,ROUND(Teams!$E23*(Teams!$I23-O$6+1)/(Teams!$I23-Teams!$H23),0))))</f>
        <v/>
      </c>
      <c r="P25" s="34">
        <f>IF(OR(P$6&lt;Teams!$F23,P$6&gt;Teams!$I23),0,IF(P$6&lt;Teams!$G23,ROUND(Teams!$E23*(P$6-Teams!$F23+1)/(Teams!$G23-Teams!$F23+1),0),IF(P$6&lt;=Teams!$H23,Teams!$E23,ROUND(Teams!$E23*(Teams!$I23-P$6+1)/(Teams!$I23-Teams!$H23),0))))</f>
        <v/>
      </c>
      <c r="Q25" s="34">
        <f>IF(OR(Q$6&lt;Teams!$F23,Q$6&gt;Teams!$I23),0,IF(Q$6&lt;Teams!$G23,ROUND(Teams!$E23*(Q$6-Teams!$F23+1)/(Teams!$G23-Teams!$F23+1),0),IF(Q$6&lt;=Teams!$H23,Teams!$E23,ROUND(Teams!$E23*(Teams!$I23-Q$6+1)/(Teams!$I23-Teams!$H23),0))))</f>
        <v/>
      </c>
      <c r="R25" s="34">
        <f>IF(OR(R$6&lt;Teams!$F23,R$6&gt;Teams!$I23),0,IF(R$6&lt;Teams!$G23,ROUND(Teams!$E23*(R$6-Teams!$F23+1)/(Teams!$G23-Teams!$F23+1),0),IF(R$6&lt;=Teams!$H23,Teams!$E23,ROUND(Teams!$E23*(Teams!$I23-R$6+1)/(Teams!$I23-Teams!$H23),0))))</f>
        <v/>
      </c>
      <c r="S25" s="34">
        <f>IF(OR(S$6&lt;Teams!$F23,S$6&gt;Teams!$I23),0,IF(S$6&lt;Teams!$G23,ROUND(Teams!$E23*(S$6-Teams!$F23+1)/(Teams!$G23-Teams!$F23+1),0),IF(S$6&lt;=Teams!$H23,Teams!$E23,ROUND(Teams!$E23*(Teams!$I23-S$6+1)/(Teams!$I23-Teams!$H23),0))))</f>
        <v/>
      </c>
      <c r="T25" s="34">
        <f>IF(OR(T$6&lt;Teams!$F23,T$6&gt;Teams!$I23),0,IF(T$6&lt;Teams!$G23,ROUND(Teams!$E23*(T$6-Teams!$F23+1)/(Teams!$G23-Teams!$F23+1),0),IF(T$6&lt;=Teams!$H23,Teams!$E23,ROUND(Teams!$E23*(Teams!$I23-T$6+1)/(Teams!$I23-Teams!$H23),0))))</f>
        <v/>
      </c>
      <c r="U25" s="34">
        <f>IF(OR(U$6&lt;Teams!$F23,U$6&gt;Teams!$I23),0,IF(U$6&lt;Teams!$G23,ROUND(Teams!$E23*(U$6-Teams!$F23+1)/(Teams!$G23-Teams!$F23+1),0),IF(U$6&lt;=Teams!$H23,Teams!$E23,ROUND(Teams!$E23*(Teams!$I23-U$6+1)/(Teams!$I23-Teams!$H23),0))))</f>
        <v/>
      </c>
      <c r="V25" s="34">
        <f>IF(OR(V$6&lt;Teams!$F23,V$6&gt;Teams!$I23),0,IF(V$6&lt;Teams!$G23,ROUND(Teams!$E23*(V$6-Teams!$F23+1)/(Teams!$G23-Teams!$F23+1),0),IF(V$6&lt;=Teams!$H23,Teams!$E23,ROUND(Teams!$E23*(Teams!$I23-V$6+1)/(Teams!$I23-Teams!$H23),0))))</f>
        <v/>
      </c>
      <c r="W25" s="34">
        <f>IF(OR(W$6&lt;Teams!$F23,W$6&gt;Teams!$I23),0,IF(W$6&lt;Teams!$G23,ROUND(Teams!$E23*(W$6-Teams!$F23+1)/(Teams!$G23-Teams!$F23+1),0),IF(W$6&lt;=Teams!$H23,Teams!$E23,ROUND(Teams!$E23*(Teams!$I23-W$6+1)/(Teams!$I23-Teams!$H23),0))))</f>
        <v/>
      </c>
      <c r="X25" s="34">
        <f>IF(OR(X$6&lt;Teams!$F23,X$6&gt;Teams!$I23),0,IF(X$6&lt;Teams!$G23,ROUND(Teams!$E23*(X$6-Teams!$F23+1)/(Teams!$G23-Teams!$F23+1),0),IF(X$6&lt;=Teams!$H23,Teams!$E23,ROUND(Teams!$E23*(Teams!$I23-X$6+1)/(Teams!$I23-Teams!$H23),0))))</f>
        <v/>
      </c>
      <c r="Y25" s="34">
        <f>IF(OR(Y$6&lt;Teams!$F23,Y$6&gt;Teams!$I23),0,IF(Y$6&lt;Teams!$G23,ROUND(Teams!$E23*(Y$6-Teams!$F23+1)/(Teams!$G23-Teams!$F23+1),0),IF(Y$6&lt;=Teams!$H23,Teams!$E23,ROUND(Teams!$E23*(Teams!$I23-Y$6+1)/(Teams!$I23-Teams!$H23),0))))</f>
        <v/>
      </c>
      <c r="Z25" s="34">
        <f>IF(OR(Z$6&lt;Teams!$F23,Z$6&gt;Teams!$I23),0,IF(Z$6&lt;Teams!$G23,ROUND(Teams!$E23*(Z$6-Teams!$F23+1)/(Teams!$G23-Teams!$F23+1),0),IF(Z$6&lt;=Teams!$H23,Teams!$E23,ROUND(Teams!$E23*(Teams!$I23-Z$6+1)/(Teams!$I23-Teams!$H23),0))))</f>
        <v/>
      </c>
      <c r="AA25" s="34">
        <f>IF(OR(AA$6&lt;Teams!$F23,AA$6&gt;Teams!$I23),0,IF(AA$6&lt;Teams!$G23,ROUND(Teams!$E23*(AA$6-Teams!$F23+1)/(Teams!$G23-Teams!$F23+1),0),IF(AA$6&lt;=Teams!$H23,Teams!$E23,ROUND(Teams!$E23*(Teams!$I23-AA$6+1)/(Teams!$I23-Teams!$H23),0))))</f>
        <v/>
      </c>
      <c r="AB25" s="34">
        <f>IF(OR(AB$6&lt;Teams!$F23,AB$6&gt;Teams!$I23),0,IF(AB$6&lt;Teams!$G23,ROUND(Teams!$E23*(AB$6-Teams!$F23+1)/(Teams!$G23-Teams!$F23+1),0),IF(AB$6&lt;=Teams!$H23,Teams!$E23,ROUND(Teams!$E23*(Teams!$I23-AB$6+1)/(Teams!$I23-Teams!$H23),0))))</f>
        <v/>
      </c>
      <c r="AC25" s="34">
        <f>IF(OR(AC$6&lt;Teams!$F23,AC$6&gt;Teams!$I23),0,IF(AC$6&lt;Teams!$G23,ROUND(Teams!$E23*(AC$6-Teams!$F23+1)/(Teams!$G23-Teams!$F23+1),0),IF(AC$6&lt;=Teams!$H23,Teams!$E23,ROUND(Teams!$E23*(Teams!$I23-AC$6+1)/(Teams!$I23-Teams!$H23),0))))</f>
        <v/>
      </c>
      <c r="AD25" s="34">
        <f>IF(OR(AD$6&lt;Teams!$F23,AD$6&gt;Teams!$I23),0,IF(AD$6&lt;Teams!$G23,ROUND(Teams!$E23*(AD$6-Teams!$F23+1)/(Teams!$G23-Teams!$F23+1),0),IF(AD$6&lt;=Teams!$H23,Teams!$E23,ROUND(Teams!$E23*(Teams!$I23-AD$6+1)/(Teams!$I23-Teams!$H23),0))))</f>
        <v/>
      </c>
      <c r="AE25" s="34">
        <f>IF(OR(AE$6&lt;Teams!$F23,AE$6&gt;Teams!$I23),0,IF(AE$6&lt;Teams!$G23,ROUND(Teams!$E23*(AE$6-Teams!$F23+1)/(Teams!$G23-Teams!$F23+1),0),IF(AE$6&lt;=Teams!$H23,Teams!$E23,ROUND(Teams!$E23*(Teams!$I23-AE$6+1)/(Teams!$I23-Teams!$H23),0))))</f>
        <v/>
      </c>
      <c r="AF25" s="34">
        <f>IF(OR(AF$6&lt;Teams!$F23,AF$6&gt;Teams!$I23),0,IF(AF$6&lt;Teams!$G23,ROUND(Teams!$E23*(AF$6-Teams!$F23+1)/(Teams!$G23-Teams!$F23+1),0),IF(AF$6&lt;=Teams!$H23,Teams!$E23,ROUND(Teams!$E23*(Teams!$I23-AF$6+1)/(Teams!$I23-Teams!$H23),0))))</f>
        <v/>
      </c>
      <c r="AG25" s="34">
        <f>IF(OR(AG$6&lt;Teams!$F23,AG$6&gt;Teams!$I23),0,IF(AG$6&lt;Teams!$G23,ROUND(Teams!$E23*(AG$6-Teams!$F23+1)/(Teams!$G23-Teams!$F23+1),0),IF(AG$6&lt;=Teams!$H23,Teams!$E23,ROUND(Teams!$E23*(Teams!$I23-AG$6+1)/(Teams!$I23-Teams!$H23),0))))</f>
        <v/>
      </c>
      <c r="AH25" s="34">
        <f>IF(OR(AH$6&lt;Teams!$F23,AH$6&gt;Teams!$I23),0,IF(AH$6&lt;Teams!$G23,ROUND(Teams!$E23*(AH$6-Teams!$F23+1)/(Teams!$G23-Teams!$F23+1),0),IF(AH$6&lt;=Teams!$H23,Teams!$E23,ROUND(Teams!$E23*(Teams!$I23-AH$6+1)/(Teams!$I23-Teams!$H23),0))))</f>
        <v/>
      </c>
      <c r="AI25" s="34">
        <f>IF(OR(AI$6&lt;Teams!$F23,AI$6&gt;Teams!$I23),0,IF(AI$6&lt;Teams!$G23,ROUND(Teams!$E23*(AI$6-Teams!$F23+1)/(Teams!$G23-Teams!$F23+1),0),IF(AI$6&lt;=Teams!$H23,Teams!$E23,ROUND(Teams!$E23*(Teams!$I23-AI$6+1)/(Teams!$I23-Teams!$H23),0))))</f>
        <v/>
      </c>
      <c r="AJ25" s="34">
        <f>IF(OR(AJ$6&lt;Teams!$F23,AJ$6&gt;Teams!$I23),0,IF(AJ$6&lt;Teams!$G23,ROUND(Teams!$E23*(AJ$6-Teams!$F23+1)/(Teams!$G23-Teams!$F23+1),0),IF(AJ$6&lt;=Teams!$H23,Teams!$E23,ROUND(Teams!$E23*(Teams!$I23-AJ$6+1)/(Teams!$I23-Teams!$H23),0))))</f>
        <v/>
      </c>
      <c r="AK25" s="34">
        <f>IF(OR(AK$6&lt;Teams!$F23,AK$6&gt;Teams!$I23),0,IF(AK$6&lt;Teams!$G23,ROUND(Teams!$E23*(AK$6-Teams!$F23+1)/(Teams!$G23-Teams!$F23+1),0),IF(AK$6&lt;=Teams!$H23,Teams!$E23,ROUND(Teams!$E23*(Teams!$I23-AK$6+1)/(Teams!$I23-Teams!$H23),0))))</f>
        <v/>
      </c>
      <c r="AL25" s="34">
        <f>IF(OR(AL$6&lt;Teams!$F23,AL$6&gt;Teams!$I23),0,IF(AL$6&lt;Teams!$G23,ROUND(Teams!$E23*(AL$6-Teams!$F23+1)/(Teams!$G23-Teams!$F23+1),0),IF(AL$6&lt;=Teams!$H23,Teams!$E23,ROUND(Teams!$E23*(Teams!$I23-AL$6+1)/(Teams!$I23-Teams!$H23),0))))</f>
        <v/>
      </c>
      <c r="AM25" s="34">
        <f>IF(OR(AM$6&lt;Teams!$F23,AM$6&gt;Teams!$I23),0,IF(AM$6&lt;Teams!$G23,ROUND(Teams!$E23*(AM$6-Teams!$F23+1)/(Teams!$G23-Teams!$F23+1),0),IF(AM$6&lt;=Teams!$H23,Teams!$E23,ROUND(Teams!$E23*(Teams!$I23-AM$6+1)/(Teams!$I23-Teams!$H23),0))))</f>
        <v/>
      </c>
      <c r="AN25" s="34">
        <f>IF(OR(AN$6&lt;Teams!$F23,AN$6&gt;Teams!$I23),0,IF(AN$6&lt;Teams!$G23,ROUND(Teams!$E23*(AN$6-Teams!$F23+1)/(Teams!$G23-Teams!$F23+1),0),IF(AN$6&lt;=Teams!$H23,Teams!$E23,ROUND(Teams!$E23*(Teams!$I23-AN$6+1)/(Teams!$I23-Teams!$H23),0))))</f>
        <v/>
      </c>
    </row>
    <row r="26">
      <c r="A26" s="33">
        <f>Teams!A24</f>
        <v/>
      </c>
      <c r="B26" s="33">
        <f>Teams!C24&amp;" — "&amp;Teams!B24</f>
        <v/>
      </c>
      <c r="C26" s="34">
        <f>IF(OR(C$6&lt;Teams!$F24,C$6&gt;Teams!$I24),0,IF(C$6&lt;Teams!$G24,ROUND(Teams!$E24*(C$6-Teams!$F24+1)/(Teams!$G24-Teams!$F24+1),0),IF(C$6&lt;=Teams!$H24,Teams!$E24,ROUND(Teams!$E24*(Teams!$I24-C$6+1)/(Teams!$I24-Teams!$H24),0))))</f>
        <v/>
      </c>
      <c r="D26" s="34">
        <f>IF(OR(D$6&lt;Teams!$F24,D$6&gt;Teams!$I24),0,IF(D$6&lt;Teams!$G24,ROUND(Teams!$E24*(D$6-Teams!$F24+1)/(Teams!$G24-Teams!$F24+1),0),IF(D$6&lt;=Teams!$H24,Teams!$E24,ROUND(Teams!$E24*(Teams!$I24-D$6+1)/(Teams!$I24-Teams!$H24),0))))</f>
        <v/>
      </c>
      <c r="E26" s="34">
        <f>IF(OR(E$6&lt;Teams!$F24,E$6&gt;Teams!$I24),0,IF(E$6&lt;Teams!$G24,ROUND(Teams!$E24*(E$6-Teams!$F24+1)/(Teams!$G24-Teams!$F24+1),0),IF(E$6&lt;=Teams!$H24,Teams!$E24,ROUND(Teams!$E24*(Teams!$I24-E$6+1)/(Teams!$I24-Teams!$H24),0))))</f>
        <v/>
      </c>
      <c r="F26" s="34">
        <f>IF(OR(F$6&lt;Teams!$F24,F$6&gt;Teams!$I24),0,IF(F$6&lt;Teams!$G24,ROUND(Teams!$E24*(F$6-Teams!$F24+1)/(Teams!$G24-Teams!$F24+1),0),IF(F$6&lt;=Teams!$H24,Teams!$E24,ROUND(Teams!$E24*(Teams!$I24-F$6+1)/(Teams!$I24-Teams!$H24),0))))</f>
        <v/>
      </c>
      <c r="G26" s="34">
        <f>IF(OR(G$6&lt;Teams!$F24,G$6&gt;Teams!$I24),0,IF(G$6&lt;Teams!$G24,ROUND(Teams!$E24*(G$6-Teams!$F24+1)/(Teams!$G24-Teams!$F24+1),0),IF(G$6&lt;=Teams!$H24,Teams!$E24,ROUND(Teams!$E24*(Teams!$I24-G$6+1)/(Teams!$I24-Teams!$H24),0))))</f>
        <v/>
      </c>
      <c r="H26" s="34">
        <f>IF(OR(H$6&lt;Teams!$F24,H$6&gt;Teams!$I24),0,IF(H$6&lt;Teams!$G24,ROUND(Teams!$E24*(H$6-Teams!$F24+1)/(Teams!$G24-Teams!$F24+1),0),IF(H$6&lt;=Teams!$H24,Teams!$E24,ROUND(Teams!$E24*(Teams!$I24-H$6+1)/(Teams!$I24-Teams!$H24),0))))</f>
        <v/>
      </c>
      <c r="I26" s="34">
        <f>IF(OR(I$6&lt;Teams!$F24,I$6&gt;Teams!$I24),0,IF(I$6&lt;Teams!$G24,ROUND(Teams!$E24*(I$6-Teams!$F24+1)/(Teams!$G24-Teams!$F24+1),0),IF(I$6&lt;=Teams!$H24,Teams!$E24,ROUND(Teams!$E24*(Teams!$I24-I$6+1)/(Teams!$I24-Teams!$H24),0))))</f>
        <v/>
      </c>
      <c r="J26" s="34">
        <f>IF(OR(J$6&lt;Teams!$F24,J$6&gt;Teams!$I24),0,IF(J$6&lt;Teams!$G24,ROUND(Teams!$E24*(J$6-Teams!$F24+1)/(Teams!$G24-Teams!$F24+1),0),IF(J$6&lt;=Teams!$H24,Teams!$E24,ROUND(Teams!$E24*(Teams!$I24-J$6+1)/(Teams!$I24-Teams!$H24),0))))</f>
        <v/>
      </c>
      <c r="K26" s="34">
        <f>IF(OR(K$6&lt;Teams!$F24,K$6&gt;Teams!$I24),0,IF(K$6&lt;Teams!$G24,ROUND(Teams!$E24*(K$6-Teams!$F24+1)/(Teams!$G24-Teams!$F24+1),0),IF(K$6&lt;=Teams!$H24,Teams!$E24,ROUND(Teams!$E24*(Teams!$I24-K$6+1)/(Teams!$I24-Teams!$H24),0))))</f>
        <v/>
      </c>
      <c r="L26" s="34">
        <f>IF(OR(L$6&lt;Teams!$F24,L$6&gt;Teams!$I24),0,IF(L$6&lt;Teams!$G24,ROUND(Teams!$E24*(L$6-Teams!$F24+1)/(Teams!$G24-Teams!$F24+1),0),IF(L$6&lt;=Teams!$H24,Teams!$E24,ROUND(Teams!$E24*(Teams!$I24-L$6+1)/(Teams!$I24-Teams!$H24),0))))</f>
        <v/>
      </c>
      <c r="M26" s="34">
        <f>IF(OR(M$6&lt;Teams!$F24,M$6&gt;Teams!$I24),0,IF(M$6&lt;Teams!$G24,ROUND(Teams!$E24*(M$6-Teams!$F24+1)/(Teams!$G24-Teams!$F24+1),0),IF(M$6&lt;=Teams!$H24,Teams!$E24,ROUND(Teams!$E24*(Teams!$I24-M$6+1)/(Teams!$I24-Teams!$H24),0))))</f>
        <v/>
      </c>
      <c r="N26" s="34">
        <f>IF(OR(N$6&lt;Teams!$F24,N$6&gt;Teams!$I24),0,IF(N$6&lt;Teams!$G24,ROUND(Teams!$E24*(N$6-Teams!$F24+1)/(Teams!$G24-Teams!$F24+1),0),IF(N$6&lt;=Teams!$H24,Teams!$E24,ROUND(Teams!$E24*(Teams!$I24-N$6+1)/(Teams!$I24-Teams!$H24),0))))</f>
        <v/>
      </c>
      <c r="O26" s="34">
        <f>IF(OR(O$6&lt;Teams!$F24,O$6&gt;Teams!$I24),0,IF(O$6&lt;Teams!$G24,ROUND(Teams!$E24*(O$6-Teams!$F24+1)/(Teams!$G24-Teams!$F24+1),0),IF(O$6&lt;=Teams!$H24,Teams!$E24,ROUND(Teams!$E24*(Teams!$I24-O$6+1)/(Teams!$I24-Teams!$H24),0))))</f>
        <v/>
      </c>
      <c r="P26" s="34">
        <f>IF(OR(P$6&lt;Teams!$F24,P$6&gt;Teams!$I24),0,IF(P$6&lt;Teams!$G24,ROUND(Teams!$E24*(P$6-Teams!$F24+1)/(Teams!$G24-Teams!$F24+1),0),IF(P$6&lt;=Teams!$H24,Teams!$E24,ROUND(Teams!$E24*(Teams!$I24-P$6+1)/(Teams!$I24-Teams!$H24),0))))</f>
        <v/>
      </c>
      <c r="Q26" s="34">
        <f>IF(OR(Q$6&lt;Teams!$F24,Q$6&gt;Teams!$I24),0,IF(Q$6&lt;Teams!$G24,ROUND(Teams!$E24*(Q$6-Teams!$F24+1)/(Teams!$G24-Teams!$F24+1),0),IF(Q$6&lt;=Teams!$H24,Teams!$E24,ROUND(Teams!$E24*(Teams!$I24-Q$6+1)/(Teams!$I24-Teams!$H24),0))))</f>
        <v/>
      </c>
      <c r="R26" s="34">
        <f>IF(OR(R$6&lt;Teams!$F24,R$6&gt;Teams!$I24),0,IF(R$6&lt;Teams!$G24,ROUND(Teams!$E24*(R$6-Teams!$F24+1)/(Teams!$G24-Teams!$F24+1),0),IF(R$6&lt;=Teams!$H24,Teams!$E24,ROUND(Teams!$E24*(Teams!$I24-R$6+1)/(Teams!$I24-Teams!$H24),0))))</f>
        <v/>
      </c>
      <c r="S26" s="34">
        <f>IF(OR(S$6&lt;Teams!$F24,S$6&gt;Teams!$I24),0,IF(S$6&lt;Teams!$G24,ROUND(Teams!$E24*(S$6-Teams!$F24+1)/(Teams!$G24-Teams!$F24+1),0),IF(S$6&lt;=Teams!$H24,Teams!$E24,ROUND(Teams!$E24*(Teams!$I24-S$6+1)/(Teams!$I24-Teams!$H24),0))))</f>
        <v/>
      </c>
      <c r="T26" s="34">
        <f>IF(OR(T$6&lt;Teams!$F24,T$6&gt;Teams!$I24),0,IF(T$6&lt;Teams!$G24,ROUND(Teams!$E24*(T$6-Teams!$F24+1)/(Teams!$G24-Teams!$F24+1),0),IF(T$6&lt;=Teams!$H24,Teams!$E24,ROUND(Teams!$E24*(Teams!$I24-T$6+1)/(Teams!$I24-Teams!$H24),0))))</f>
        <v/>
      </c>
      <c r="U26" s="34">
        <f>IF(OR(U$6&lt;Teams!$F24,U$6&gt;Teams!$I24),0,IF(U$6&lt;Teams!$G24,ROUND(Teams!$E24*(U$6-Teams!$F24+1)/(Teams!$G24-Teams!$F24+1),0),IF(U$6&lt;=Teams!$H24,Teams!$E24,ROUND(Teams!$E24*(Teams!$I24-U$6+1)/(Teams!$I24-Teams!$H24),0))))</f>
        <v/>
      </c>
      <c r="V26" s="34">
        <f>IF(OR(V$6&lt;Teams!$F24,V$6&gt;Teams!$I24),0,IF(V$6&lt;Teams!$G24,ROUND(Teams!$E24*(V$6-Teams!$F24+1)/(Teams!$G24-Teams!$F24+1),0),IF(V$6&lt;=Teams!$H24,Teams!$E24,ROUND(Teams!$E24*(Teams!$I24-V$6+1)/(Teams!$I24-Teams!$H24),0))))</f>
        <v/>
      </c>
      <c r="W26" s="34">
        <f>IF(OR(W$6&lt;Teams!$F24,W$6&gt;Teams!$I24),0,IF(W$6&lt;Teams!$G24,ROUND(Teams!$E24*(W$6-Teams!$F24+1)/(Teams!$G24-Teams!$F24+1),0),IF(W$6&lt;=Teams!$H24,Teams!$E24,ROUND(Teams!$E24*(Teams!$I24-W$6+1)/(Teams!$I24-Teams!$H24),0))))</f>
        <v/>
      </c>
      <c r="X26" s="34">
        <f>IF(OR(X$6&lt;Teams!$F24,X$6&gt;Teams!$I24),0,IF(X$6&lt;Teams!$G24,ROUND(Teams!$E24*(X$6-Teams!$F24+1)/(Teams!$G24-Teams!$F24+1),0),IF(X$6&lt;=Teams!$H24,Teams!$E24,ROUND(Teams!$E24*(Teams!$I24-X$6+1)/(Teams!$I24-Teams!$H24),0))))</f>
        <v/>
      </c>
      <c r="Y26" s="34">
        <f>IF(OR(Y$6&lt;Teams!$F24,Y$6&gt;Teams!$I24),0,IF(Y$6&lt;Teams!$G24,ROUND(Teams!$E24*(Y$6-Teams!$F24+1)/(Teams!$G24-Teams!$F24+1),0),IF(Y$6&lt;=Teams!$H24,Teams!$E24,ROUND(Teams!$E24*(Teams!$I24-Y$6+1)/(Teams!$I24-Teams!$H24),0))))</f>
        <v/>
      </c>
      <c r="Z26" s="34">
        <f>IF(OR(Z$6&lt;Teams!$F24,Z$6&gt;Teams!$I24),0,IF(Z$6&lt;Teams!$G24,ROUND(Teams!$E24*(Z$6-Teams!$F24+1)/(Teams!$G24-Teams!$F24+1),0),IF(Z$6&lt;=Teams!$H24,Teams!$E24,ROUND(Teams!$E24*(Teams!$I24-Z$6+1)/(Teams!$I24-Teams!$H24),0))))</f>
        <v/>
      </c>
      <c r="AA26" s="34">
        <f>IF(OR(AA$6&lt;Teams!$F24,AA$6&gt;Teams!$I24),0,IF(AA$6&lt;Teams!$G24,ROUND(Teams!$E24*(AA$6-Teams!$F24+1)/(Teams!$G24-Teams!$F24+1),0),IF(AA$6&lt;=Teams!$H24,Teams!$E24,ROUND(Teams!$E24*(Teams!$I24-AA$6+1)/(Teams!$I24-Teams!$H24),0))))</f>
        <v/>
      </c>
      <c r="AB26" s="34">
        <f>IF(OR(AB$6&lt;Teams!$F24,AB$6&gt;Teams!$I24),0,IF(AB$6&lt;Teams!$G24,ROUND(Teams!$E24*(AB$6-Teams!$F24+1)/(Teams!$G24-Teams!$F24+1),0),IF(AB$6&lt;=Teams!$H24,Teams!$E24,ROUND(Teams!$E24*(Teams!$I24-AB$6+1)/(Teams!$I24-Teams!$H24),0))))</f>
        <v/>
      </c>
      <c r="AC26" s="34">
        <f>IF(OR(AC$6&lt;Teams!$F24,AC$6&gt;Teams!$I24),0,IF(AC$6&lt;Teams!$G24,ROUND(Teams!$E24*(AC$6-Teams!$F24+1)/(Teams!$G24-Teams!$F24+1),0),IF(AC$6&lt;=Teams!$H24,Teams!$E24,ROUND(Teams!$E24*(Teams!$I24-AC$6+1)/(Teams!$I24-Teams!$H24),0))))</f>
        <v/>
      </c>
      <c r="AD26" s="34">
        <f>IF(OR(AD$6&lt;Teams!$F24,AD$6&gt;Teams!$I24),0,IF(AD$6&lt;Teams!$G24,ROUND(Teams!$E24*(AD$6-Teams!$F24+1)/(Teams!$G24-Teams!$F24+1),0),IF(AD$6&lt;=Teams!$H24,Teams!$E24,ROUND(Teams!$E24*(Teams!$I24-AD$6+1)/(Teams!$I24-Teams!$H24),0))))</f>
        <v/>
      </c>
      <c r="AE26" s="34">
        <f>IF(OR(AE$6&lt;Teams!$F24,AE$6&gt;Teams!$I24),0,IF(AE$6&lt;Teams!$G24,ROUND(Teams!$E24*(AE$6-Teams!$F24+1)/(Teams!$G24-Teams!$F24+1),0),IF(AE$6&lt;=Teams!$H24,Teams!$E24,ROUND(Teams!$E24*(Teams!$I24-AE$6+1)/(Teams!$I24-Teams!$H24),0))))</f>
        <v/>
      </c>
      <c r="AF26" s="34">
        <f>IF(OR(AF$6&lt;Teams!$F24,AF$6&gt;Teams!$I24),0,IF(AF$6&lt;Teams!$G24,ROUND(Teams!$E24*(AF$6-Teams!$F24+1)/(Teams!$G24-Teams!$F24+1),0),IF(AF$6&lt;=Teams!$H24,Teams!$E24,ROUND(Teams!$E24*(Teams!$I24-AF$6+1)/(Teams!$I24-Teams!$H24),0))))</f>
        <v/>
      </c>
      <c r="AG26" s="34">
        <f>IF(OR(AG$6&lt;Teams!$F24,AG$6&gt;Teams!$I24),0,IF(AG$6&lt;Teams!$G24,ROUND(Teams!$E24*(AG$6-Teams!$F24+1)/(Teams!$G24-Teams!$F24+1),0),IF(AG$6&lt;=Teams!$H24,Teams!$E24,ROUND(Teams!$E24*(Teams!$I24-AG$6+1)/(Teams!$I24-Teams!$H24),0))))</f>
        <v/>
      </c>
      <c r="AH26" s="34">
        <f>IF(OR(AH$6&lt;Teams!$F24,AH$6&gt;Teams!$I24),0,IF(AH$6&lt;Teams!$G24,ROUND(Teams!$E24*(AH$6-Teams!$F24+1)/(Teams!$G24-Teams!$F24+1),0),IF(AH$6&lt;=Teams!$H24,Teams!$E24,ROUND(Teams!$E24*(Teams!$I24-AH$6+1)/(Teams!$I24-Teams!$H24),0))))</f>
        <v/>
      </c>
      <c r="AI26" s="34">
        <f>IF(OR(AI$6&lt;Teams!$F24,AI$6&gt;Teams!$I24),0,IF(AI$6&lt;Teams!$G24,ROUND(Teams!$E24*(AI$6-Teams!$F24+1)/(Teams!$G24-Teams!$F24+1),0),IF(AI$6&lt;=Teams!$H24,Teams!$E24,ROUND(Teams!$E24*(Teams!$I24-AI$6+1)/(Teams!$I24-Teams!$H24),0))))</f>
        <v/>
      </c>
      <c r="AJ26" s="34">
        <f>IF(OR(AJ$6&lt;Teams!$F24,AJ$6&gt;Teams!$I24),0,IF(AJ$6&lt;Teams!$G24,ROUND(Teams!$E24*(AJ$6-Teams!$F24+1)/(Teams!$G24-Teams!$F24+1),0),IF(AJ$6&lt;=Teams!$H24,Teams!$E24,ROUND(Teams!$E24*(Teams!$I24-AJ$6+1)/(Teams!$I24-Teams!$H24),0))))</f>
        <v/>
      </c>
      <c r="AK26" s="34">
        <f>IF(OR(AK$6&lt;Teams!$F24,AK$6&gt;Teams!$I24),0,IF(AK$6&lt;Teams!$G24,ROUND(Teams!$E24*(AK$6-Teams!$F24+1)/(Teams!$G24-Teams!$F24+1),0),IF(AK$6&lt;=Teams!$H24,Teams!$E24,ROUND(Teams!$E24*(Teams!$I24-AK$6+1)/(Teams!$I24-Teams!$H24),0))))</f>
        <v/>
      </c>
      <c r="AL26" s="34">
        <f>IF(OR(AL$6&lt;Teams!$F24,AL$6&gt;Teams!$I24),0,IF(AL$6&lt;Teams!$G24,ROUND(Teams!$E24*(AL$6-Teams!$F24+1)/(Teams!$G24-Teams!$F24+1),0),IF(AL$6&lt;=Teams!$H24,Teams!$E24,ROUND(Teams!$E24*(Teams!$I24-AL$6+1)/(Teams!$I24-Teams!$H24),0))))</f>
        <v/>
      </c>
      <c r="AM26" s="34">
        <f>IF(OR(AM$6&lt;Teams!$F24,AM$6&gt;Teams!$I24),0,IF(AM$6&lt;Teams!$G24,ROUND(Teams!$E24*(AM$6-Teams!$F24+1)/(Teams!$G24-Teams!$F24+1),0),IF(AM$6&lt;=Teams!$H24,Teams!$E24,ROUND(Teams!$E24*(Teams!$I24-AM$6+1)/(Teams!$I24-Teams!$H24),0))))</f>
        <v/>
      </c>
      <c r="AN26" s="34">
        <f>IF(OR(AN$6&lt;Teams!$F24,AN$6&gt;Teams!$I24),0,IF(AN$6&lt;Teams!$G24,ROUND(Teams!$E24*(AN$6-Teams!$F24+1)/(Teams!$G24-Teams!$F24+1),0),IF(AN$6&lt;=Teams!$H24,Teams!$E24,ROUND(Teams!$E24*(Teams!$I24-AN$6+1)/(Teams!$I24-Teams!$H24),0))))</f>
        <v/>
      </c>
    </row>
    <row r="27">
      <c r="A27" s="33">
        <f>Teams!A25</f>
        <v/>
      </c>
      <c r="B27" s="33">
        <f>Teams!C25&amp;" — "&amp;Teams!B25</f>
        <v/>
      </c>
      <c r="C27" s="34">
        <f>IF(OR(C$6&lt;Teams!$F25,C$6&gt;Teams!$I25),0,IF(C$6&lt;Teams!$G25,ROUND(Teams!$E25*(C$6-Teams!$F25+1)/(Teams!$G25-Teams!$F25+1),0),IF(C$6&lt;=Teams!$H25,Teams!$E25,ROUND(Teams!$E25*(Teams!$I25-C$6+1)/(Teams!$I25-Teams!$H25),0))))</f>
        <v/>
      </c>
      <c r="D27" s="34">
        <f>IF(OR(D$6&lt;Teams!$F25,D$6&gt;Teams!$I25),0,IF(D$6&lt;Teams!$G25,ROUND(Teams!$E25*(D$6-Teams!$F25+1)/(Teams!$G25-Teams!$F25+1),0),IF(D$6&lt;=Teams!$H25,Teams!$E25,ROUND(Teams!$E25*(Teams!$I25-D$6+1)/(Teams!$I25-Teams!$H25),0))))</f>
        <v/>
      </c>
      <c r="E27" s="34">
        <f>IF(OR(E$6&lt;Teams!$F25,E$6&gt;Teams!$I25),0,IF(E$6&lt;Teams!$G25,ROUND(Teams!$E25*(E$6-Teams!$F25+1)/(Teams!$G25-Teams!$F25+1),0),IF(E$6&lt;=Teams!$H25,Teams!$E25,ROUND(Teams!$E25*(Teams!$I25-E$6+1)/(Teams!$I25-Teams!$H25),0))))</f>
        <v/>
      </c>
      <c r="F27" s="34">
        <f>IF(OR(F$6&lt;Teams!$F25,F$6&gt;Teams!$I25),0,IF(F$6&lt;Teams!$G25,ROUND(Teams!$E25*(F$6-Teams!$F25+1)/(Teams!$G25-Teams!$F25+1),0),IF(F$6&lt;=Teams!$H25,Teams!$E25,ROUND(Teams!$E25*(Teams!$I25-F$6+1)/(Teams!$I25-Teams!$H25),0))))</f>
        <v/>
      </c>
      <c r="G27" s="34">
        <f>IF(OR(G$6&lt;Teams!$F25,G$6&gt;Teams!$I25),0,IF(G$6&lt;Teams!$G25,ROUND(Teams!$E25*(G$6-Teams!$F25+1)/(Teams!$G25-Teams!$F25+1),0),IF(G$6&lt;=Teams!$H25,Teams!$E25,ROUND(Teams!$E25*(Teams!$I25-G$6+1)/(Teams!$I25-Teams!$H25),0))))</f>
        <v/>
      </c>
      <c r="H27" s="34">
        <f>IF(OR(H$6&lt;Teams!$F25,H$6&gt;Teams!$I25),0,IF(H$6&lt;Teams!$G25,ROUND(Teams!$E25*(H$6-Teams!$F25+1)/(Teams!$G25-Teams!$F25+1),0),IF(H$6&lt;=Teams!$H25,Teams!$E25,ROUND(Teams!$E25*(Teams!$I25-H$6+1)/(Teams!$I25-Teams!$H25),0))))</f>
        <v/>
      </c>
      <c r="I27" s="34">
        <f>IF(OR(I$6&lt;Teams!$F25,I$6&gt;Teams!$I25),0,IF(I$6&lt;Teams!$G25,ROUND(Teams!$E25*(I$6-Teams!$F25+1)/(Teams!$G25-Teams!$F25+1),0),IF(I$6&lt;=Teams!$H25,Teams!$E25,ROUND(Teams!$E25*(Teams!$I25-I$6+1)/(Teams!$I25-Teams!$H25),0))))</f>
        <v/>
      </c>
      <c r="J27" s="34">
        <f>IF(OR(J$6&lt;Teams!$F25,J$6&gt;Teams!$I25),0,IF(J$6&lt;Teams!$G25,ROUND(Teams!$E25*(J$6-Teams!$F25+1)/(Teams!$G25-Teams!$F25+1),0),IF(J$6&lt;=Teams!$H25,Teams!$E25,ROUND(Teams!$E25*(Teams!$I25-J$6+1)/(Teams!$I25-Teams!$H25),0))))</f>
        <v/>
      </c>
      <c r="K27" s="34">
        <f>IF(OR(K$6&lt;Teams!$F25,K$6&gt;Teams!$I25),0,IF(K$6&lt;Teams!$G25,ROUND(Teams!$E25*(K$6-Teams!$F25+1)/(Teams!$G25-Teams!$F25+1),0),IF(K$6&lt;=Teams!$H25,Teams!$E25,ROUND(Teams!$E25*(Teams!$I25-K$6+1)/(Teams!$I25-Teams!$H25),0))))</f>
        <v/>
      </c>
      <c r="L27" s="34">
        <f>IF(OR(L$6&lt;Teams!$F25,L$6&gt;Teams!$I25),0,IF(L$6&lt;Teams!$G25,ROUND(Teams!$E25*(L$6-Teams!$F25+1)/(Teams!$G25-Teams!$F25+1),0),IF(L$6&lt;=Teams!$H25,Teams!$E25,ROUND(Teams!$E25*(Teams!$I25-L$6+1)/(Teams!$I25-Teams!$H25),0))))</f>
        <v/>
      </c>
      <c r="M27" s="34">
        <f>IF(OR(M$6&lt;Teams!$F25,M$6&gt;Teams!$I25),0,IF(M$6&lt;Teams!$G25,ROUND(Teams!$E25*(M$6-Teams!$F25+1)/(Teams!$G25-Teams!$F25+1),0),IF(M$6&lt;=Teams!$H25,Teams!$E25,ROUND(Teams!$E25*(Teams!$I25-M$6+1)/(Teams!$I25-Teams!$H25),0))))</f>
        <v/>
      </c>
      <c r="N27" s="34">
        <f>IF(OR(N$6&lt;Teams!$F25,N$6&gt;Teams!$I25),0,IF(N$6&lt;Teams!$G25,ROUND(Teams!$E25*(N$6-Teams!$F25+1)/(Teams!$G25-Teams!$F25+1),0),IF(N$6&lt;=Teams!$H25,Teams!$E25,ROUND(Teams!$E25*(Teams!$I25-N$6+1)/(Teams!$I25-Teams!$H25),0))))</f>
        <v/>
      </c>
      <c r="O27" s="34">
        <f>IF(OR(O$6&lt;Teams!$F25,O$6&gt;Teams!$I25),0,IF(O$6&lt;Teams!$G25,ROUND(Teams!$E25*(O$6-Teams!$F25+1)/(Teams!$G25-Teams!$F25+1),0),IF(O$6&lt;=Teams!$H25,Teams!$E25,ROUND(Teams!$E25*(Teams!$I25-O$6+1)/(Teams!$I25-Teams!$H25),0))))</f>
        <v/>
      </c>
      <c r="P27" s="34">
        <f>IF(OR(P$6&lt;Teams!$F25,P$6&gt;Teams!$I25),0,IF(P$6&lt;Teams!$G25,ROUND(Teams!$E25*(P$6-Teams!$F25+1)/(Teams!$G25-Teams!$F25+1),0),IF(P$6&lt;=Teams!$H25,Teams!$E25,ROUND(Teams!$E25*(Teams!$I25-P$6+1)/(Teams!$I25-Teams!$H25),0))))</f>
        <v/>
      </c>
      <c r="Q27" s="34">
        <f>IF(OR(Q$6&lt;Teams!$F25,Q$6&gt;Teams!$I25),0,IF(Q$6&lt;Teams!$G25,ROUND(Teams!$E25*(Q$6-Teams!$F25+1)/(Teams!$G25-Teams!$F25+1),0),IF(Q$6&lt;=Teams!$H25,Teams!$E25,ROUND(Teams!$E25*(Teams!$I25-Q$6+1)/(Teams!$I25-Teams!$H25),0))))</f>
        <v/>
      </c>
      <c r="R27" s="34">
        <f>IF(OR(R$6&lt;Teams!$F25,R$6&gt;Teams!$I25),0,IF(R$6&lt;Teams!$G25,ROUND(Teams!$E25*(R$6-Teams!$F25+1)/(Teams!$G25-Teams!$F25+1),0),IF(R$6&lt;=Teams!$H25,Teams!$E25,ROUND(Teams!$E25*(Teams!$I25-R$6+1)/(Teams!$I25-Teams!$H25),0))))</f>
        <v/>
      </c>
      <c r="S27" s="34">
        <f>IF(OR(S$6&lt;Teams!$F25,S$6&gt;Teams!$I25),0,IF(S$6&lt;Teams!$G25,ROUND(Teams!$E25*(S$6-Teams!$F25+1)/(Teams!$G25-Teams!$F25+1),0),IF(S$6&lt;=Teams!$H25,Teams!$E25,ROUND(Teams!$E25*(Teams!$I25-S$6+1)/(Teams!$I25-Teams!$H25),0))))</f>
        <v/>
      </c>
      <c r="T27" s="34">
        <f>IF(OR(T$6&lt;Teams!$F25,T$6&gt;Teams!$I25),0,IF(T$6&lt;Teams!$G25,ROUND(Teams!$E25*(T$6-Teams!$F25+1)/(Teams!$G25-Teams!$F25+1),0),IF(T$6&lt;=Teams!$H25,Teams!$E25,ROUND(Teams!$E25*(Teams!$I25-T$6+1)/(Teams!$I25-Teams!$H25),0))))</f>
        <v/>
      </c>
      <c r="U27" s="34">
        <f>IF(OR(U$6&lt;Teams!$F25,U$6&gt;Teams!$I25),0,IF(U$6&lt;Teams!$G25,ROUND(Teams!$E25*(U$6-Teams!$F25+1)/(Teams!$G25-Teams!$F25+1),0),IF(U$6&lt;=Teams!$H25,Teams!$E25,ROUND(Teams!$E25*(Teams!$I25-U$6+1)/(Teams!$I25-Teams!$H25),0))))</f>
        <v/>
      </c>
      <c r="V27" s="34">
        <f>IF(OR(V$6&lt;Teams!$F25,V$6&gt;Teams!$I25),0,IF(V$6&lt;Teams!$G25,ROUND(Teams!$E25*(V$6-Teams!$F25+1)/(Teams!$G25-Teams!$F25+1),0),IF(V$6&lt;=Teams!$H25,Teams!$E25,ROUND(Teams!$E25*(Teams!$I25-V$6+1)/(Teams!$I25-Teams!$H25),0))))</f>
        <v/>
      </c>
      <c r="W27" s="34">
        <f>IF(OR(W$6&lt;Teams!$F25,W$6&gt;Teams!$I25),0,IF(W$6&lt;Teams!$G25,ROUND(Teams!$E25*(W$6-Teams!$F25+1)/(Teams!$G25-Teams!$F25+1),0),IF(W$6&lt;=Teams!$H25,Teams!$E25,ROUND(Teams!$E25*(Teams!$I25-W$6+1)/(Teams!$I25-Teams!$H25),0))))</f>
        <v/>
      </c>
      <c r="X27" s="34">
        <f>IF(OR(X$6&lt;Teams!$F25,X$6&gt;Teams!$I25),0,IF(X$6&lt;Teams!$G25,ROUND(Teams!$E25*(X$6-Teams!$F25+1)/(Teams!$G25-Teams!$F25+1),0),IF(X$6&lt;=Teams!$H25,Teams!$E25,ROUND(Teams!$E25*(Teams!$I25-X$6+1)/(Teams!$I25-Teams!$H25),0))))</f>
        <v/>
      </c>
      <c r="Y27" s="34">
        <f>IF(OR(Y$6&lt;Teams!$F25,Y$6&gt;Teams!$I25),0,IF(Y$6&lt;Teams!$G25,ROUND(Teams!$E25*(Y$6-Teams!$F25+1)/(Teams!$G25-Teams!$F25+1),0),IF(Y$6&lt;=Teams!$H25,Teams!$E25,ROUND(Teams!$E25*(Teams!$I25-Y$6+1)/(Teams!$I25-Teams!$H25),0))))</f>
        <v/>
      </c>
      <c r="Z27" s="34">
        <f>IF(OR(Z$6&lt;Teams!$F25,Z$6&gt;Teams!$I25),0,IF(Z$6&lt;Teams!$G25,ROUND(Teams!$E25*(Z$6-Teams!$F25+1)/(Teams!$G25-Teams!$F25+1),0),IF(Z$6&lt;=Teams!$H25,Teams!$E25,ROUND(Teams!$E25*(Teams!$I25-Z$6+1)/(Teams!$I25-Teams!$H25),0))))</f>
        <v/>
      </c>
      <c r="AA27" s="34">
        <f>IF(OR(AA$6&lt;Teams!$F25,AA$6&gt;Teams!$I25),0,IF(AA$6&lt;Teams!$G25,ROUND(Teams!$E25*(AA$6-Teams!$F25+1)/(Teams!$G25-Teams!$F25+1),0),IF(AA$6&lt;=Teams!$H25,Teams!$E25,ROUND(Teams!$E25*(Teams!$I25-AA$6+1)/(Teams!$I25-Teams!$H25),0))))</f>
        <v/>
      </c>
      <c r="AB27" s="34">
        <f>IF(OR(AB$6&lt;Teams!$F25,AB$6&gt;Teams!$I25),0,IF(AB$6&lt;Teams!$G25,ROUND(Teams!$E25*(AB$6-Teams!$F25+1)/(Teams!$G25-Teams!$F25+1),0),IF(AB$6&lt;=Teams!$H25,Teams!$E25,ROUND(Teams!$E25*(Teams!$I25-AB$6+1)/(Teams!$I25-Teams!$H25),0))))</f>
        <v/>
      </c>
      <c r="AC27" s="34">
        <f>IF(OR(AC$6&lt;Teams!$F25,AC$6&gt;Teams!$I25),0,IF(AC$6&lt;Teams!$G25,ROUND(Teams!$E25*(AC$6-Teams!$F25+1)/(Teams!$G25-Teams!$F25+1),0),IF(AC$6&lt;=Teams!$H25,Teams!$E25,ROUND(Teams!$E25*(Teams!$I25-AC$6+1)/(Teams!$I25-Teams!$H25),0))))</f>
        <v/>
      </c>
      <c r="AD27" s="34">
        <f>IF(OR(AD$6&lt;Teams!$F25,AD$6&gt;Teams!$I25),0,IF(AD$6&lt;Teams!$G25,ROUND(Teams!$E25*(AD$6-Teams!$F25+1)/(Teams!$G25-Teams!$F25+1),0),IF(AD$6&lt;=Teams!$H25,Teams!$E25,ROUND(Teams!$E25*(Teams!$I25-AD$6+1)/(Teams!$I25-Teams!$H25),0))))</f>
        <v/>
      </c>
      <c r="AE27" s="34">
        <f>IF(OR(AE$6&lt;Teams!$F25,AE$6&gt;Teams!$I25),0,IF(AE$6&lt;Teams!$G25,ROUND(Teams!$E25*(AE$6-Teams!$F25+1)/(Teams!$G25-Teams!$F25+1),0),IF(AE$6&lt;=Teams!$H25,Teams!$E25,ROUND(Teams!$E25*(Teams!$I25-AE$6+1)/(Teams!$I25-Teams!$H25),0))))</f>
        <v/>
      </c>
      <c r="AF27" s="34">
        <f>IF(OR(AF$6&lt;Teams!$F25,AF$6&gt;Teams!$I25),0,IF(AF$6&lt;Teams!$G25,ROUND(Teams!$E25*(AF$6-Teams!$F25+1)/(Teams!$G25-Teams!$F25+1),0),IF(AF$6&lt;=Teams!$H25,Teams!$E25,ROUND(Teams!$E25*(Teams!$I25-AF$6+1)/(Teams!$I25-Teams!$H25),0))))</f>
        <v/>
      </c>
      <c r="AG27" s="34">
        <f>IF(OR(AG$6&lt;Teams!$F25,AG$6&gt;Teams!$I25),0,IF(AG$6&lt;Teams!$G25,ROUND(Teams!$E25*(AG$6-Teams!$F25+1)/(Teams!$G25-Teams!$F25+1),0),IF(AG$6&lt;=Teams!$H25,Teams!$E25,ROUND(Teams!$E25*(Teams!$I25-AG$6+1)/(Teams!$I25-Teams!$H25),0))))</f>
        <v/>
      </c>
      <c r="AH27" s="34">
        <f>IF(OR(AH$6&lt;Teams!$F25,AH$6&gt;Teams!$I25),0,IF(AH$6&lt;Teams!$G25,ROUND(Teams!$E25*(AH$6-Teams!$F25+1)/(Teams!$G25-Teams!$F25+1),0),IF(AH$6&lt;=Teams!$H25,Teams!$E25,ROUND(Teams!$E25*(Teams!$I25-AH$6+1)/(Teams!$I25-Teams!$H25),0))))</f>
        <v/>
      </c>
      <c r="AI27" s="34">
        <f>IF(OR(AI$6&lt;Teams!$F25,AI$6&gt;Teams!$I25),0,IF(AI$6&lt;Teams!$G25,ROUND(Teams!$E25*(AI$6-Teams!$F25+1)/(Teams!$G25-Teams!$F25+1),0),IF(AI$6&lt;=Teams!$H25,Teams!$E25,ROUND(Teams!$E25*(Teams!$I25-AI$6+1)/(Teams!$I25-Teams!$H25),0))))</f>
        <v/>
      </c>
      <c r="AJ27" s="34">
        <f>IF(OR(AJ$6&lt;Teams!$F25,AJ$6&gt;Teams!$I25),0,IF(AJ$6&lt;Teams!$G25,ROUND(Teams!$E25*(AJ$6-Teams!$F25+1)/(Teams!$G25-Teams!$F25+1),0),IF(AJ$6&lt;=Teams!$H25,Teams!$E25,ROUND(Teams!$E25*(Teams!$I25-AJ$6+1)/(Teams!$I25-Teams!$H25),0))))</f>
        <v/>
      </c>
      <c r="AK27" s="34">
        <f>IF(OR(AK$6&lt;Teams!$F25,AK$6&gt;Teams!$I25),0,IF(AK$6&lt;Teams!$G25,ROUND(Teams!$E25*(AK$6-Teams!$F25+1)/(Teams!$G25-Teams!$F25+1),0),IF(AK$6&lt;=Teams!$H25,Teams!$E25,ROUND(Teams!$E25*(Teams!$I25-AK$6+1)/(Teams!$I25-Teams!$H25),0))))</f>
        <v/>
      </c>
      <c r="AL27" s="34">
        <f>IF(OR(AL$6&lt;Teams!$F25,AL$6&gt;Teams!$I25),0,IF(AL$6&lt;Teams!$G25,ROUND(Teams!$E25*(AL$6-Teams!$F25+1)/(Teams!$G25-Teams!$F25+1),0),IF(AL$6&lt;=Teams!$H25,Teams!$E25,ROUND(Teams!$E25*(Teams!$I25-AL$6+1)/(Teams!$I25-Teams!$H25),0))))</f>
        <v/>
      </c>
      <c r="AM27" s="34">
        <f>IF(OR(AM$6&lt;Teams!$F25,AM$6&gt;Teams!$I25),0,IF(AM$6&lt;Teams!$G25,ROUND(Teams!$E25*(AM$6-Teams!$F25+1)/(Teams!$G25-Teams!$F25+1),0),IF(AM$6&lt;=Teams!$H25,Teams!$E25,ROUND(Teams!$E25*(Teams!$I25-AM$6+1)/(Teams!$I25-Teams!$H25),0))))</f>
        <v/>
      </c>
      <c r="AN27" s="34">
        <f>IF(OR(AN$6&lt;Teams!$F25,AN$6&gt;Teams!$I25),0,IF(AN$6&lt;Teams!$G25,ROUND(Teams!$E25*(AN$6-Teams!$F25+1)/(Teams!$G25-Teams!$F25+1),0),IF(AN$6&lt;=Teams!$H25,Teams!$E25,ROUND(Teams!$E25*(Teams!$I25-AN$6+1)/(Teams!$I25-Teams!$H25),0))))</f>
        <v/>
      </c>
    </row>
    <row r="28">
      <c r="A28" s="33">
        <f>Teams!A26</f>
        <v/>
      </c>
      <c r="B28" s="33">
        <f>Teams!C26&amp;" — "&amp;Teams!B26</f>
        <v/>
      </c>
      <c r="C28" s="34">
        <f>IF(OR(C$6&lt;Teams!$F26,C$6&gt;Teams!$I26),0,IF(C$6&lt;Teams!$G26,ROUND(Teams!$E26*(C$6-Teams!$F26+1)/(Teams!$G26-Teams!$F26+1),0),IF(C$6&lt;=Teams!$H26,Teams!$E26,ROUND(Teams!$E26*(Teams!$I26-C$6+1)/(Teams!$I26-Teams!$H26),0))))</f>
        <v/>
      </c>
      <c r="D28" s="34">
        <f>IF(OR(D$6&lt;Teams!$F26,D$6&gt;Teams!$I26),0,IF(D$6&lt;Teams!$G26,ROUND(Teams!$E26*(D$6-Teams!$F26+1)/(Teams!$G26-Teams!$F26+1),0),IF(D$6&lt;=Teams!$H26,Teams!$E26,ROUND(Teams!$E26*(Teams!$I26-D$6+1)/(Teams!$I26-Teams!$H26),0))))</f>
        <v/>
      </c>
      <c r="E28" s="34">
        <f>IF(OR(E$6&lt;Teams!$F26,E$6&gt;Teams!$I26),0,IF(E$6&lt;Teams!$G26,ROUND(Teams!$E26*(E$6-Teams!$F26+1)/(Teams!$G26-Teams!$F26+1),0),IF(E$6&lt;=Teams!$H26,Teams!$E26,ROUND(Teams!$E26*(Teams!$I26-E$6+1)/(Teams!$I26-Teams!$H26),0))))</f>
        <v/>
      </c>
      <c r="F28" s="34">
        <f>IF(OR(F$6&lt;Teams!$F26,F$6&gt;Teams!$I26),0,IF(F$6&lt;Teams!$G26,ROUND(Teams!$E26*(F$6-Teams!$F26+1)/(Teams!$G26-Teams!$F26+1),0),IF(F$6&lt;=Teams!$H26,Teams!$E26,ROUND(Teams!$E26*(Teams!$I26-F$6+1)/(Teams!$I26-Teams!$H26),0))))</f>
        <v/>
      </c>
      <c r="G28" s="34">
        <f>IF(OR(G$6&lt;Teams!$F26,G$6&gt;Teams!$I26),0,IF(G$6&lt;Teams!$G26,ROUND(Teams!$E26*(G$6-Teams!$F26+1)/(Teams!$G26-Teams!$F26+1),0),IF(G$6&lt;=Teams!$H26,Teams!$E26,ROUND(Teams!$E26*(Teams!$I26-G$6+1)/(Teams!$I26-Teams!$H26),0))))</f>
        <v/>
      </c>
      <c r="H28" s="34">
        <f>IF(OR(H$6&lt;Teams!$F26,H$6&gt;Teams!$I26),0,IF(H$6&lt;Teams!$G26,ROUND(Teams!$E26*(H$6-Teams!$F26+1)/(Teams!$G26-Teams!$F26+1),0),IF(H$6&lt;=Teams!$H26,Teams!$E26,ROUND(Teams!$E26*(Teams!$I26-H$6+1)/(Teams!$I26-Teams!$H26),0))))</f>
        <v/>
      </c>
      <c r="I28" s="34">
        <f>IF(OR(I$6&lt;Teams!$F26,I$6&gt;Teams!$I26),0,IF(I$6&lt;Teams!$G26,ROUND(Teams!$E26*(I$6-Teams!$F26+1)/(Teams!$G26-Teams!$F26+1),0),IF(I$6&lt;=Teams!$H26,Teams!$E26,ROUND(Teams!$E26*(Teams!$I26-I$6+1)/(Teams!$I26-Teams!$H26),0))))</f>
        <v/>
      </c>
      <c r="J28" s="34">
        <f>IF(OR(J$6&lt;Teams!$F26,J$6&gt;Teams!$I26),0,IF(J$6&lt;Teams!$G26,ROUND(Teams!$E26*(J$6-Teams!$F26+1)/(Teams!$G26-Teams!$F26+1),0),IF(J$6&lt;=Teams!$H26,Teams!$E26,ROUND(Teams!$E26*(Teams!$I26-J$6+1)/(Teams!$I26-Teams!$H26),0))))</f>
        <v/>
      </c>
      <c r="K28" s="34">
        <f>IF(OR(K$6&lt;Teams!$F26,K$6&gt;Teams!$I26),0,IF(K$6&lt;Teams!$G26,ROUND(Teams!$E26*(K$6-Teams!$F26+1)/(Teams!$G26-Teams!$F26+1),0),IF(K$6&lt;=Teams!$H26,Teams!$E26,ROUND(Teams!$E26*(Teams!$I26-K$6+1)/(Teams!$I26-Teams!$H26),0))))</f>
        <v/>
      </c>
      <c r="L28" s="34">
        <f>IF(OR(L$6&lt;Teams!$F26,L$6&gt;Teams!$I26),0,IF(L$6&lt;Teams!$G26,ROUND(Teams!$E26*(L$6-Teams!$F26+1)/(Teams!$G26-Teams!$F26+1),0),IF(L$6&lt;=Teams!$H26,Teams!$E26,ROUND(Teams!$E26*(Teams!$I26-L$6+1)/(Teams!$I26-Teams!$H26),0))))</f>
        <v/>
      </c>
      <c r="M28" s="34">
        <f>IF(OR(M$6&lt;Teams!$F26,M$6&gt;Teams!$I26),0,IF(M$6&lt;Teams!$G26,ROUND(Teams!$E26*(M$6-Teams!$F26+1)/(Teams!$G26-Teams!$F26+1),0),IF(M$6&lt;=Teams!$H26,Teams!$E26,ROUND(Teams!$E26*(Teams!$I26-M$6+1)/(Teams!$I26-Teams!$H26),0))))</f>
        <v/>
      </c>
      <c r="N28" s="34">
        <f>IF(OR(N$6&lt;Teams!$F26,N$6&gt;Teams!$I26),0,IF(N$6&lt;Teams!$G26,ROUND(Teams!$E26*(N$6-Teams!$F26+1)/(Teams!$G26-Teams!$F26+1),0),IF(N$6&lt;=Teams!$H26,Teams!$E26,ROUND(Teams!$E26*(Teams!$I26-N$6+1)/(Teams!$I26-Teams!$H26),0))))</f>
        <v/>
      </c>
      <c r="O28" s="34">
        <f>IF(OR(O$6&lt;Teams!$F26,O$6&gt;Teams!$I26),0,IF(O$6&lt;Teams!$G26,ROUND(Teams!$E26*(O$6-Teams!$F26+1)/(Teams!$G26-Teams!$F26+1),0),IF(O$6&lt;=Teams!$H26,Teams!$E26,ROUND(Teams!$E26*(Teams!$I26-O$6+1)/(Teams!$I26-Teams!$H26),0))))</f>
        <v/>
      </c>
      <c r="P28" s="34">
        <f>IF(OR(P$6&lt;Teams!$F26,P$6&gt;Teams!$I26),0,IF(P$6&lt;Teams!$G26,ROUND(Teams!$E26*(P$6-Teams!$F26+1)/(Teams!$G26-Teams!$F26+1),0),IF(P$6&lt;=Teams!$H26,Teams!$E26,ROUND(Teams!$E26*(Teams!$I26-P$6+1)/(Teams!$I26-Teams!$H26),0))))</f>
        <v/>
      </c>
      <c r="Q28" s="34">
        <f>IF(OR(Q$6&lt;Teams!$F26,Q$6&gt;Teams!$I26),0,IF(Q$6&lt;Teams!$G26,ROUND(Teams!$E26*(Q$6-Teams!$F26+1)/(Teams!$G26-Teams!$F26+1),0),IF(Q$6&lt;=Teams!$H26,Teams!$E26,ROUND(Teams!$E26*(Teams!$I26-Q$6+1)/(Teams!$I26-Teams!$H26),0))))</f>
        <v/>
      </c>
      <c r="R28" s="34">
        <f>IF(OR(R$6&lt;Teams!$F26,R$6&gt;Teams!$I26),0,IF(R$6&lt;Teams!$G26,ROUND(Teams!$E26*(R$6-Teams!$F26+1)/(Teams!$G26-Teams!$F26+1),0),IF(R$6&lt;=Teams!$H26,Teams!$E26,ROUND(Teams!$E26*(Teams!$I26-R$6+1)/(Teams!$I26-Teams!$H26),0))))</f>
        <v/>
      </c>
      <c r="S28" s="34">
        <f>IF(OR(S$6&lt;Teams!$F26,S$6&gt;Teams!$I26),0,IF(S$6&lt;Teams!$G26,ROUND(Teams!$E26*(S$6-Teams!$F26+1)/(Teams!$G26-Teams!$F26+1),0),IF(S$6&lt;=Teams!$H26,Teams!$E26,ROUND(Teams!$E26*(Teams!$I26-S$6+1)/(Teams!$I26-Teams!$H26),0))))</f>
        <v/>
      </c>
      <c r="T28" s="34">
        <f>IF(OR(T$6&lt;Teams!$F26,T$6&gt;Teams!$I26),0,IF(T$6&lt;Teams!$G26,ROUND(Teams!$E26*(T$6-Teams!$F26+1)/(Teams!$G26-Teams!$F26+1),0),IF(T$6&lt;=Teams!$H26,Teams!$E26,ROUND(Teams!$E26*(Teams!$I26-T$6+1)/(Teams!$I26-Teams!$H26),0))))</f>
        <v/>
      </c>
      <c r="U28" s="34">
        <f>IF(OR(U$6&lt;Teams!$F26,U$6&gt;Teams!$I26),0,IF(U$6&lt;Teams!$G26,ROUND(Teams!$E26*(U$6-Teams!$F26+1)/(Teams!$G26-Teams!$F26+1),0),IF(U$6&lt;=Teams!$H26,Teams!$E26,ROUND(Teams!$E26*(Teams!$I26-U$6+1)/(Teams!$I26-Teams!$H26),0))))</f>
        <v/>
      </c>
      <c r="V28" s="34">
        <f>IF(OR(V$6&lt;Teams!$F26,V$6&gt;Teams!$I26),0,IF(V$6&lt;Teams!$G26,ROUND(Teams!$E26*(V$6-Teams!$F26+1)/(Teams!$G26-Teams!$F26+1),0),IF(V$6&lt;=Teams!$H26,Teams!$E26,ROUND(Teams!$E26*(Teams!$I26-V$6+1)/(Teams!$I26-Teams!$H26),0))))</f>
        <v/>
      </c>
      <c r="W28" s="34">
        <f>IF(OR(W$6&lt;Teams!$F26,W$6&gt;Teams!$I26),0,IF(W$6&lt;Teams!$G26,ROUND(Teams!$E26*(W$6-Teams!$F26+1)/(Teams!$G26-Teams!$F26+1),0),IF(W$6&lt;=Teams!$H26,Teams!$E26,ROUND(Teams!$E26*(Teams!$I26-W$6+1)/(Teams!$I26-Teams!$H26),0))))</f>
        <v/>
      </c>
      <c r="X28" s="34">
        <f>IF(OR(X$6&lt;Teams!$F26,X$6&gt;Teams!$I26),0,IF(X$6&lt;Teams!$G26,ROUND(Teams!$E26*(X$6-Teams!$F26+1)/(Teams!$G26-Teams!$F26+1),0),IF(X$6&lt;=Teams!$H26,Teams!$E26,ROUND(Teams!$E26*(Teams!$I26-X$6+1)/(Teams!$I26-Teams!$H26),0))))</f>
        <v/>
      </c>
      <c r="Y28" s="34">
        <f>IF(OR(Y$6&lt;Teams!$F26,Y$6&gt;Teams!$I26),0,IF(Y$6&lt;Teams!$G26,ROUND(Teams!$E26*(Y$6-Teams!$F26+1)/(Teams!$G26-Teams!$F26+1),0),IF(Y$6&lt;=Teams!$H26,Teams!$E26,ROUND(Teams!$E26*(Teams!$I26-Y$6+1)/(Teams!$I26-Teams!$H26),0))))</f>
        <v/>
      </c>
      <c r="Z28" s="34">
        <f>IF(OR(Z$6&lt;Teams!$F26,Z$6&gt;Teams!$I26),0,IF(Z$6&lt;Teams!$G26,ROUND(Teams!$E26*(Z$6-Teams!$F26+1)/(Teams!$G26-Teams!$F26+1),0),IF(Z$6&lt;=Teams!$H26,Teams!$E26,ROUND(Teams!$E26*(Teams!$I26-Z$6+1)/(Teams!$I26-Teams!$H26),0))))</f>
        <v/>
      </c>
      <c r="AA28" s="34">
        <f>IF(OR(AA$6&lt;Teams!$F26,AA$6&gt;Teams!$I26),0,IF(AA$6&lt;Teams!$G26,ROUND(Teams!$E26*(AA$6-Teams!$F26+1)/(Teams!$G26-Teams!$F26+1),0),IF(AA$6&lt;=Teams!$H26,Teams!$E26,ROUND(Teams!$E26*(Teams!$I26-AA$6+1)/(Teams!$I26-Teams!$H26),0))))</f>
        <v/>
      </c>
      <c r="AB28" s="34">
        <f>IF(OR(AB$6&lt;Teams!$F26,AB$6&gt;Teams!$I26),0,IF(AB$6&lt;Teams!$G26,ROUND(Teams!$E26*(AB$6-Teams!$F26+1)/(Teams!$G26-Teams!$F26+1),0),IF(AB$6&lt;=Teams!$H26,Teams!$E26,ROUND(Teams!$E26*(Teams!$I26-AB$6+1)/(Teams!$I26-Teams!$H26),0))))</f>
        <v/>
      </c>
      <c r="AC28" s="34">
        <f>IF(OR(AC$6&lt;Teams!$F26,AC$6&gt;Teams!$I26),0,IF(AC$6&lt;Teams!$G26,ROUND(Teams!$E26*(AC$6-Teams!$F26+1)/(Teams!$G26-Teams!$F26+1),0),IF(AC$6&lt;=Teams!$H26,Teams!$E26,ROUND(Teams!$E26*(Teams!$I26-AC$6+1)/(Teams!$I26-Teams!$H26),0))))</f>
        <v/>
      </c>
      <c r="AD28" s="34">
        <f>IF(OR(AD$6&lt;Teams!$F26,AD$6&gt;Teams!$I26),0,IF(AD$6&lt;Teams!$G26,ROUND(Teams!$E26*(AD$6-Teams!$F26+1)/(Teams!$G26-Teams!$F26+1),0),IF(AD$6&lt;=Teams!$H26,Teams!$E26,ROUND(Teams!$E26*(Teams!$I26-AD$6+1)/(Teams!$I26-Teams!$H26),0))))</f>
        <v/>
      </c>
      <c r="AE28" s="34">
        <f>IF(OR(AE$6&lt;Teams!$F26,AE$6&gt;Teams!$I26),0,IF(AE$6&lt;Teams!$G26,ROUND(Teams!$E26*(AE$6-Teams!$F26+1)/(Teams!$G26-Teams!$F26+1),0),IF(AE$6&lt;=Teams!$H26,Teams!$E26,ROUND(Teams!$E26*(Teams!$I26-AE$6+1)/(Teams!$I26-Teams!$H26),0))))</f>
        <v/>
      </c>
      <c r="AF28" s="34">
        <f>IF(OR(AF$6&lt;Teams!$F26,AF$6&gt;Teams!$I26),0,IF(AF$6&lt;Teams!$G26,ROUND(Teams!$E26*(AF$6-Teams!$F26+1)/(Teams!$G26-Teams!$F26+1),0),IF(AF$6&lt;=Teams!$H26,Teams!$E26,ROUND(Teams!$E26*(Teams!$I26-AF$6+1)/(Teams!$I26-Teams!$H26),0))))</f>
        <v/>
      </c>
      <c r="AG28" s="34">
        <f>IF(OR(AG$6&lt;Teams!$F26,AG$6&gt;Teams!$I26),0,IF(AG$6&lt;Teams!$G26,ROUND(Teams!$E26*(AG$6-Teams!$F26+1)/(Teams!$G26-Teams!$F26+1),0),IF(AG$6&lt;=Teams!$H26,Teams!$E26,ROUND(Teams!$E26*(Teams!$I26-AG$6+1)/(Teams!$I26-Teams!$H26),0))))</f>
        <v/>
      </c>
      <c r="AH28" s="34">
        <f>IF(OR(AH$6&lt;Teams!$F26,AH$6&gt;Teams!$I26),0,IF(AH$6&lt;Teams!$G26,ROUND(Teams!$E26*(AH$6-Teams!$F26+1)/(Teams!$G26-Teams!$F26+1),0),IF(AH$6&lt;=Teams!$H26,Teams!$E26,ROUND(Teams!$E26*(Teams!$I26-AH$6+1)/(Teams!$I26-Teams!$H26),0))))</f>
        <v/>
      </c>
      <c r="AI28" s="34">
        <f>IF(OR(AI$6&lt;Teams!$F26,AI$6&gt;Teams!$I26),0,IF(AI$6&lt;Teams!$G26,ROUND(Teams!$E26*(AI$6-Teams!$F26+1)/(Teams!$G26-Teams!$F26+1),0),IF(AI$6&lt;=Teams!$H26,Teams!$E26,ROUND(Teams!$E26*(Teams!$I26-AI$6+1)/(Teams!$I26-Teams!$H26),0))))</f>
        <v/>
      </c>
      <c r="AJ28" s="34">
        <f>IF(OR(AJ$6&lt;Teams!$F26,AJ$6&gt;Teams!$I26),0,IF(AJ$6&lt;Teams!$G26,ROUND(Teams!$E26*(AJ$6-Teams!$F26+1)/(Teams!$G26-Teams!$F26+1),0),IF(AJ$6&lt;=Teams!$H26,Teams!$E26,ROUND(Teams!$E26*(Teams!$I26-AJ$6+1)/(Teams!$I26-Teams!$H26),0))))</f>
        <v/>
      </c>
      <c r="AK28" s="34">
        <f>IF(OR(AK$6&lt;Teams!$F26,AK$6&gt;Teams!$I26),0,IF(AK$6&lt;Teams!$G26,ROUND(Teams!$E26*(AK$6-Teams!$F26+1)/(Teams!$G26-Teams!$F26+1),0),IF(AK$6&lt;=Teams!$H26,Teams!$E26,ROUND(Teams!$E26*(Teams!$I26-AK$6+1)/(Teams!$I26-Teams!$H26),0))))</f>
        <v/>
      </c>
      <c r="AL28" s="34">
        <f>IF(OR(AL$6&lt;Teams!$F26,AL$6&gt;Teams!$I26),0,IF(AL$6&lt;Teams!$G26,ROUND(Teams!$E26*(AL$6-Teams!$F26+1)/(Teams!$G26-Teams!$F26+1),0),IF(AL$6&lt;=Teams!$H26,Teams!$E26,ROUND(Teams!$E26*(Teams!$I26-AL$6+1)/(Teams!$I26-Teams!$H26),0))))</f>
        <v/>
      </c>
      <c r="AM28" s="34">
        <f>IF(OR(AM$6&lt;Teams!$F26,AM$6&gt;Teams!$I26),0,IF(AM$6&lt;Teams!$G26,ROUND(Teams!$E26*(AM$6-Teams!$F26+1)/(Teams!$G26-Teams!$F26+1),0),IF(AM$6&lt;=Teams!$H26,Teams!$E26,ROUND(Teams!$E26*(Teams!$I26-AM$6+1)/(Teams!$I26-Teams!$H26),0))))</f>
        <v/>
      </c>
      <c r="AN28" s="34">
        <f>IF(OR(AN$6&lt;Teams!$F26,AN$6&gt;Teams!$I26),0,IF(AN$6&lt;Teams!$G26,ROUND(Teams!$E26*(AN$6-Teams!$F26+1)/(Teams!$G26-Teams!$F26+1),0),IF(AN$6&lt;=Teams!$H26,Teams!$E26,ROUND(Teams!$E26*(Teams!$I26-AN$6+1)/(Teams!$I26-Teams!$H26),0))))</f>
        <v/>
      </c>
    </row>
    <row r="29">
      <c r="B29" s="6" t="inlineStr">
        <is>
          <t>TOTAL SITE POPULATION</t>
        </is>
      </c>
      <c r="C29" s="35">
        <f>SUM(C7:C28)</f>
        <v/>
      </c>
      <c r="D29" s="35">
        <f>SUM(D7:D28)</f>
        <v/>
      </c>
      <c r="E29" s="35">
        <f>SUM(E7:E28)</f>
        <v/>
      </c>
      <c r="F29" s="35">
        <f>SUM(F7:F28)</f>
        <v/>
      </c>
      <c r="G29" s="35">
        <f>SUM(G7:G28)</f>
        <v/>
      </c>
      <c r="H29" s="35">
        <f>SUM(H7:H28)</f>
        <v/>
      </c>
      <c r="I29" s="35">
        <f>SUM(I7:I28)</f>
        <v/>
      </c>
      <c r="J29" s="35">
        <f>SUM(J7:J28)</f>
        <v/>
      </c>
      <c r="K29" s="35">
        <f>SUM(K7:K28)</f>
        <v/>
      </c>
      <c r="L29" s="35">
        <f>SUM(L7:L28)</f>
        <v/>
      </c>
      <c r="M29" s="35">
        <f>SUM(M7:M28)</f>
        <v/>
      </c>
      <c r="N29" s="35">
        <f>SUM(N7:N28)</f>
        <v/>
      </c>
      <c r="O29" s="35">
        <f>SUM(O7:O28)</f>
        <v/>
      </c>
      <c r="P29" s="35">
        <f>SUM(P7:P28)</f>
        <v/>
      </c>
      <c r="Q29" s="35">
        <f>SUM(Q7:Q28)</f>
        <v/>
      </c>
      <c r="R29" s="35">
        <f>SUM(R7:R28)</f>
        <v/>
      </c>
      <c r="S29" s="35">
        <f>SUM(S7:S28)</f>
        <v/>
      </c>
      <c r="T29" s="35">
        <f>SUM(T7:T28)</f>
        <v/>
      </c>
      <c r="U29" s="35">
        <f>SUM(U7:U28)</f>
        <v/>
      </c>
      <c r="V29" s="35">
        <f>SUM(V7:V28)</f>
        <v/>
      </c>
      <c r="W29" s="35">
        <f>SUM(W7:W28)</f>
        <v/>
      </c>
      <c r="X29" s="35">
        <f>SUM(X7:X28)</f>
        <v/>
      </c>
      <c r="Y29" s="35">
        <f>SUM(Y7:Y28)</f>
        <v/>
      </c>
      <c r="Z29" s="35">
        <f>SUM(Z7:Z28)</f>
        <v/>
      </c>
      <c r="AA29" s="35">
        <f>SUM(AA7:AA28)</f>
        <v/>
      </c>
      <c r="AB29" s="35">
        <f>SUM(AB7:AB28)</f>
        <v/>
      </c>
      <c r="AC29" s="35">
        <f>SUM(AC7:AC28)</f>
        <v/>
      </c>
      <c r="AD29" s="35">
        <f>SUM(AD7:AD28)</f>
        <v/>
      </c>
      <c r="AE29" s="35">
        <f>SUM(AE7:AE28)</f>
        <v/>
      </c>
      <c r="AF29" s="35">
        <f>SUM(AF7:AF28)</f>
        <v/>
      </c>
      <c r="AG29" s="35">
        <f>SUM(AG7:AG28)</f>
        <v/>
      </c>
      <c r="AH29" s="35">
        <f>SUM(AH7:AH28)</f>
        <v/>
      </c>
      <c r="AI29" s="35">
        <f>SUM(AI7:AI28)</f>
        <v/>
      </c>
      <c r="AJ29" s="35">
        <f>SUM(AJ7:AJ28)</f>
        <v/>
      </c>
      <c r="AK29" s="35">
        <f>SUM(AK7:AK28)</f>
        <v/>
      </c>
      <c r="AL29" s="35">
        <f>SUM(AL7:AL28)</f>
        <v/>
      </c>
      <c r="AM29" s="35">
        <f>SUM(AM7:AM28)</f>
        <v/>
      </c>
      <c r="AN29" s="35">
        <f>SUM(AN7:AN28)</f>
        <v/>
      </c>
    </row>
    <row r="31">
      <c r="B31" s="6" t="inlineStr">
        <is>
          <t>Peak site population</t>
        </is>
      </c>
      <c r="C31" s="4">
        <f>MAX(C29:AN29)</f>
        <v/>
      </c>
    </row>
    <row r="32">
      <c r="B32" s="4" t="inlineStr">
        <is>
          <t>Month of peak</t>
        </is>
      </c>
      <c r="C32" s="4">
        <f>MATCH(C31,C29:AN29,0)</f>
        <v/>
      </c>
    </row>
    <row r="33">
      <c r="B33" s="4" t="inlineStr">
        <is>
          <t>Average over the programme</t>
        </is>
      </c>
      <c r="C33" s="4">
        <f>ROUND(AVERAGE(C29:AN29),0)</f>
        <v/>
      </c>
    </row>
    <row r="34">
      <c r="B34" s="4" t="inlineStr">
        <is>
          <t>Person-months of exposure</t>
        </is>
      </c>
      <c r="C34" s="4">
        <f>SUM(C29:AN29)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CA44"/>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6" customWidth="1" min="2" max="2"/>
    <col width="6.8" customWidth="1" min="3" max="3"/>
    <col width="6.8" customWidth="1" min="4" max="4"/>
    <col width="6.8" customWidth="1" min="5" max="5"/>
    <col width="6.8" customWidth="1" min="6" max="6"/>
    <col width="6.8" customWidth="1" min="7" max="7"/>
    <col width="6.8" customWidth="1" min="8" max="8"/>
    <col width="6.8" customWidth="1" min="9" max="9"/>
    <col width="6.8" customWidth="1" min="10" max="10"/>
    <col width="6.8" customWidth="1" min="11" max="11"/>
    <col width="6.8" customWidth="1" min="12" max="12"/>
    <col width="6.8" customWidth="1" min="13" max="13"/>
    <col width="6.8" customWidth="1" min="14" max="14"/>
    <col width="6.8" customWidth="1" min="15" max="15"/>
    <col width="6.8" customWidth="1" min="16" max="16"/>
    <col width="6.8" customWidth="1" min="17" max="17"/>
    <col width="6.8" customWidth="1" min="18" max="18"/>
    <col width="6.8" customWidth="1" min="19" max="19"/>
    <col width="6.8" customWidth="1" min="20" max="20"/>
    <col width="6.8" customWidth="1" min="21" max="21"/>
    <col width="6.8" customWidth="1" min="22" max="22"/>
    <col width="6.8" customWidth="1" min="23" max="23"/>
    <col width="6.8" customWidth="1" min="24" max="24"/>
    <col width="6.8" customWidth="1" min="25" max="25"/>
    <col width="6.8" customWidth="1" min="26" max="26"/>
    <col width="6.8" customWidth="1" min="27" max="27"/>
    <col width="6.8" customWidth="1" min="28" max="28"/>
    <col width="6.8" customWidth="1" min="29" max="29"/>
    <col width="6.8" customWidth="1" min="30" max="30"/>
    <col width="6.8" customWidth="1" min="31" max="31"/>
    <col width="6.8" customWidth="1" min="32" max="32"/>
    <col width="6.8" customWidth="1" min="33" max="33"/>
    <col width="6.8" customWidth="1" min="34" max="34"/>
    <col width="6.8" customWidth="1" min="35" max="35"/>
    <col width="6.8" customWidth="1" min="36" max="36"/>
    <col width="6.8" customWidth="1" min="37" max="37"/>
    <col width="6.8" customWidth="1" min="38" max="38"/>
    <col width="6.8" customWidth="1" min="39" max="39"/>
    <col width="6.8" customWidth="1" min="40" max="40"/>
    <col width="60" customWidth="1" min="42" max="42"/>
  </cols>
  <sheetData>
    <row r="2">
      <c r="A2" s="1" t="inlineStr">
        <is>
          <t>BED DEMAND — WHO NEEDS A ROOM, MONTH BY MONTH</t>
        </is>
      </c>
    </row>
    <row r="3">
      <c r="A3" s="3" t="inlineStr">
        <is>
          <t>The whole village follows from this sheet. Headcount from Workforce, travelling percentage from Teams, everything else from Assumptions.</t>
        </is>
      </c>
    </row>
    <row r="5">
      <c r="B5" s="6" t="inlineStr">
        <is>
          <t>Month</t>
        </is>
      </c>
      <c r="C5" s="36">
        <f>Workforce!C5</f>
        <v/>
      </c>
      <c r="D5" s="36">
        <f>Workforce!D5</f>
        <v/>
      </c>
      <c r="E5" s="36">
        <f>Workforce!E5</f>
        <v/>
      </c>
      <c r="F5" s="36">
        <f>Workforce!F5</f>
        <v/>
      </c>
      <c r="G5" s="36">
        <f>Workforce!G5</f>
        <v/>
      </c>
      <c r="H5" s="36">
        <f>Workforce!H5</f>
        <v/>
      </c>
      <c r="I5" s="36">
        <f>Workforce!I5</f>
        <v/>
      </c>
      <c r="J5" s="36">
        <f>Workforce!J5</f>
        <v/>
      </c>
      <c r="K5" s="36">
        <f>Workforce!K5</f>
        <v/>
      </c>
      <c r="L5" s="36">
        <f>Workforce!L5</f>
        <v/>
      </c>
      <c r="M5" s="36">
        <f>Workforce!M5</f>
        <v/>
      </c>
      <c r="N5" s="36">
        <f>Workforce!N5</f>
        <v/>
      </c>
      <c r="O5" s="36">
        <f>Workforce!O5</f>
        <v/>
      </c>
      <c r="P5" s="36">
        <f>Workforce!P5</f>
        <v/>
      </c>
      <c r="Q5" s="36">
        <f>Workforce!Q5</f>
        <v/>
      </c>
      <c r="R5" s="36">
        <f>Workforce!R5</f>
        <v/>
      </c>
      <c r="S5" s="36">
        <f>Workforce!S5</f>
        <v/>
      </c>
      <c r="T5" s="36">
        <f>Workforce!T5</f>
        <v/>
      </c>
      <c r="U5" s="36">
        <f>Workforce!U5</f>
        <v/>
      </c>
      <c r="V5" s="36">
        <f>Workforce!V5</f>
        <v/>
      </c>
      <c r="W5" s="36">
        <f>Workforce!W5</f>
        <v/>
      </c>
      <c r="X5" s="36">
        <f>Workforce!X5</f>
        <v/>
      </c>
      <c r="Y5" s="36">
        <f>Workforce!Y5</f>
        <v/>
      </c>
      <c r="Z5" s="36">
        <f>Workforce!Z5</f>
        <v/>
      </c>
      <c r="AA5" s="36">
        <f>Workforce!AA5</f>
        <v/>
      </c>
      <c r="AB5" s="36">
        <f>Workforce!AB5</f>
        <v/>
      </c>
      <c r="AC5" s="36">
        <f>Workforce!AC5</f>
        <v/>
      </c>
      <c r="AD5" s="36">
        <f>Workforce!AD5</f>
        <v/>
      </c>
      <c r="AE5" s="36">
        <f>Workforce!AE5</f>
        <v/>
      </c>
      <c r="AF5" s="36">
        <f>Workforce!AF5</f>
        <v/>
      </c>
      <c r="AG5" s="36">
        <f>Workforce!AG5</f>
        <v/>
      </c>
      <c r="AH5" s="36">
        <f>Workforce!AH5</f>
        <v/>
      </c>
      <c r="AI5" s="36">
        <f>Workforce!AI5</f>
        <v/>
      </c>
      <c r="AJ5" s="36">
        <f>Workforce!AJ5</f>
        <v/>
      </c>
      <c r="AK5" s="36">
        <f>Workforce!AK5</f>
        <v/>
      </c>
      <c r="AL5" s="36">
        <f>Workforce!AL5</f>
        <v/>
      </c>
      <c r="AM5" s="36">
        <f>Workforce!AM5</f>
        <v/>
      </c>
      <c r="AN5" s="36">
        <f>Workforce!AN5</f>
        <v/>
      </c>
    </row>
    <row r="6">
      <c r="B6" s="6" t="inlineStr">
        <is>
          <t>Month number</t>
        </is>
      </c>
      <c r="C6" s="32" t="n">
        <v>1</v>
      </c>
      <c r="D6" s="32" t="n">
        <v>2</v>
      </c>
      <c r="E6" s="32" t="n">
        <v>3</v>
      </c>
      <c r="F6" s="32" t="n">
        <v>4</v>
      </c>
      <c r="G6" s="32" t="n">
        <v>5</v>
      </c>
      <c r="H6" s="32" t="n">
        <v>6</v>
      </c>
      <c r="I6" s="32" t="n">
        <v>7</v>
      </c>
      <c r="J6" s="32" t="n">
        <v>8</v>
      </c>
      <c r="K6" s="32" t="n">
        <v>9</v>
      </c>
      <c r="L6" s="32" t="n">
        <v>10</v>
      </c>
      <c r="M6" s="32" t="n">
        <v>11</v>
      </c>
      <c r="N6" s="32" t="n">
        <v>12</v>
      </c>
      <c r="O6" s="32" t="n">
        <v>13</v>
      </c>
      <c r="P6" s="32" t="n">
        <v>14</v>
      </c>
      <c r="Q6" s="32" t="n">
        <v>15</v>
      </c>
      <c r="R6" s="32" t="n">
        <v>16</v>
      </c>
      <c r="S6" s="32" t="n">
        <v>17</v>
      </c>
      <c r="T6" s="32" t="n">
        <v>18</v>
      </c>
      <c r="U6" s="32" t="n">
        <v>19</v>
      </c>
      <c r="V6" s="32" t="n">
        <v>20</v>
      </c>
      <c r="W6" s="32" t="n">
        <v>21</v>
      </c>
      <c r="X6" s="32" t="n">
        <v>22</v>
      </c>
      <c r="Y6" s="32" t="n">
        <v>23</v>
      </c>
      <c r="Z6" s="32" t="n">
        <v>24</v>
      </c>
      <c r="AA6" s="32" t="n">
        <v>25</v>
      </c>
      <c r="AB6" s="32" t="n">
        <v>26</v>
      </c>
      <c r="AC6" s="32" t="n">
        <v>27</v>
      </c>
      <c r="AD6" s="32" t="n">
        <v>28</v>
      </c>
      <c r="AE6" s="32" t="n">
        <v>29</v>
      </c>
      <c r="AF6" s="32" t="n">
        <v>30</v>
      </c>
      <c r="AG6" s="32" t="n">
        <v>31</v>
      </c>
      <c r="AH6" s="32" t="n">
        <v>32</v>
      </c>
      <c r="AI6" s="32" t="n">
        <v>33</v>
      </c>
      <c r="AJ6" s="32" t="n">
        <v>34</v>
      </c>
      <c r="AK6" s="32" t="n">
        <v>35</v>
      </c>
      <c r="AL6" s="32" t="n">
        <v>36</v>
      </c>
      <c r="AM6" s="32" t="n">
        <v>37</v>
      </c>
      <c r="AN6" s="32" t="n">
        <v>38</v>
      </c>
    </row>
    <row r="7">
      <c r="B7" s="6" t="inlineStr">
        <is>
          <t>Travelling workers (need accommodation)</t>
        </is>
      </c>
      <c r="C7" s="35">
        <f>ROUND(SUMPRODUCT(Workforce!C$7:C$28,Teams!$J$5:$J$26),0)</f>
        <v/>
      </c>
      <c r="D7" s="35">
        <f>ROUND(SUMPRODUCT(Workforce!D$7:D$28,Teams!$J$5:$J$26),0)</f>
        <v/>
      </c>
      <c r="E7" s="35">
        <f>ROUND(SUMPRODUCT(Workforce!E$7:E$28,Teams!$J$5:$J$26),0)</f>
        <v/>
      </c>
      <c r="F7" s="35">
        <f>ROUND(SUMPRODUCT(Workforce!F$7:F$28,Teams!$J$5:$J$26),0)</f>
        <v/>
      </c>
      <c r="G7" s="35">
        <f>ROUND(SUMPRODUCT(Workforce!G$7:G$28,Teams!$J$5:$J$26),0)</f>
        <v/>
      </c>
      <c r="H7" s="35">
        <f>ROUND(SUMPRODUCT(Workforce!H$7:H$28,Teams!$J$5:$J$26),0)</f>
        <v/>
      </c>
      <c r="I7" s="35">
        <f>ROUND(SUMPRODUCT(Workforce!I$7:I$28,Teams!$J$5:$J$26),0)</f>
        <v/>
      </c>
      <c r="J7" s="35">
        <f>ROUND(SUMPRODUCT(Workforce!J$7:J$28,Teams!$J$5:$J$26),0)</f>
        <v/>
      </c>
      <c r="K7" s="35">
        <f>ROUND(SUMPRODUCT(Workforce!K$7:K$28,Teams!$J$5:$J$26),0)</f>
        <v/>
      </c>
      <c r="L7" s="35">
        <f>ROUND(SUMPRODUCT(Workforce!L$7:L$28,Teams!$J$5:$J$26),0)</f>
        <v/>
      </c>
      <c r="M7" s="35">
        <f>ROUND(SUMPRODUCT(Workforce!M$7:M$28,Teams!$J$5:$J$26),0)</f>
        <v/>
      </c>
      <c r="N7" s="35">
        <f>ROUND(SUMPRODUCT(Workforce!N$7:N$28,Teams!$J$5:$J$26),0)</f>
        <v/>
      </c>
      <c r="O7" s="35">
        <f>ROUND(SUMPRODUCT(Workforce!O$7:O$28,Teams!$J$5:$J$26),0)</f>
        <v/>
      </c>
      <c r="P7" s="35">
        <f>ROUND(SUMPRODUCT(Workforce!P$7:P$28,Teams!$J$5:$J$26),0)</f>
        <v/>
      </c>
      <c r="Q7" s="35">
        <f>ROUND(SUMPRODUCT(Workforce!Q$7:Q$28,Teams!$J$5:$J$26),0)</f>
        <v/>
      </c>
      <c r="R7" s="35">
        <f>ROUND(SUMPRODUCT(Workforce!R$7:R$28,Teams!$J$5:$J$26),0)</f>
        <v/>
      </c>
      <c r="S7" s="35">
        <f>ROUND(SUMPRODUCT(Workforce!S$7:S$28,Teams!$J$5:$J$26),0)</f>
        <v/>
      </c>
      <c r="T7" s="35">
        <f>ROUND(SUMPRODUCT(Workforce!T$7:T$28,Teams!$J$5:$J$26),0)</f>
        <v/>
      </c>
      <c r="U7" s="35">
        <f>ROUND(SUMPRODUCT(Workforce!U$7:U$28,Teams!$J$5:$J$26),0)</f>
        <v/>
      </c>
      <c r="V7" s="35">
        <f>ROUND(SUMPRODUCT(Workforce!V$7:V$28,Teams!$J$5:$J$26),0)</f>
        <v/>
      </c>
      <c r="W7" s="35">
        <f>ROUND(SUMPRODUCT(Workforce!W$7:W$28,Teams!$J$5:$J$26),0)</f>
        <v/>
      </c>
      <c r="X7" s="35">
        <f>ROUND(SUMPRODUCT(Workforce!X$7:X$28,Teams!$J$5:$J$26),0)</f>
        <v/>
      </c>
      <c r="Y7" s="35">
        <f>ROUND(SUMPRODUCT(Workforce!Y$7:Y$28,Teams!$J$5:$J$26),0)</f>
        <v/>
      </c>
      <c r="Z7" s="35">
        <f>ROUND(SUMPRODUCT(Workforce!Z$7:Z$28,Teams!$J$5:$J$26),0)</f>
        <v/>
      </c>
      <c r="AA7" s="35">
        <f>ROUND(SUMPRODUCT(Workforce!AA$7:AA$28,Teams!$J$5:$J$26),0)</f>
        <v/>
      </c>
      <c r="AB7" s="35">
        <f>ROUND(SUMPRODUCT(Workforce!AB$7:AB$28,Teams!$J$5:$J$26),0)</f>
        <v/>
      </c>
      <c r="AC7" s="35">
        <f>ROUND(SUMPRODUCT(Workforce!AC$7:AC$28,Teams!$J$5:$J$26),0)</f>
        <v/>
      </c>
      <c r="AD7" s="35">
        <f>ROUND(SUMPRODUCT(Workforce!AD$7:AD$28,Teams!$J$5:$J$26),0)</f>
        <v/>
      </c>
      <c r="AE7" s="35">
        <f>ROUND(SUMPRODUCT(Workforce!AE$7:AE$28,Teams!$J$5:$J$26),0)</f>
        <v/>
      </c>
      <c r="AF7" s="35">
        <f>ROUND(SUMPRODUCT(Workforce!AF$7:AF$28,Teams!$J$5:$J$26),0)</f>
        <v/>
      </c>
      <c r="AG7" s="35">
        <f>ROUND(SUMPRODUCT(Workforce!AG$7:AG$28,Teams!$J$5:$J$26),0)</f>
        <v/>
      </c>
      <c r="AH7" s="35">
        <f>ROUND(SUMPRODUCT(Workforce!AH$7:AH$28,Teams!$J$5:$J$26),0)</f>
        <v/>
      </c>
      <c r="AI7" s="35">
        <f>ROUND(SUMPRODUCT(Workforce!AI$7:AI$28,Teams!$J$5:$J$26),0)</f>
        <v/>
      </c>
      <c r="AJ7" s="35">
        <f>ROUND(SUMPRODUCT(Workforce!AJ$7:AJ$28,Teams!$J$5:$J$26),0)</f>
        <v/>
      </c>
      <c r="AK7" s="35">
        <f>ROUND(SUMPRODUCT(Workforce!AK$7:AK$28,Teams!$J$5:$J$26),0)</f>
        <v/>
      </c>
      <c r="AL7" s="35">
        <f>ROUND(SUMPRODUCT(Workforce!AL$7:AL$28,Teams!$J$5:$J$26),0)</f>
        <v/>
      </c>
      <c r="AM7" s="35">
        <f>ROUND(SUMPRODUCT(Workforce!AM$7:AM$28,Teams!$J$5:$J$26),0)</f>
        <v/>
      </c>
      <c r="AN7" s="35">
        <f>ROUND(SUMPRODUCT(Workforce!AN$7:AN$28,Teams!$J$5:$J$26),0)</f>
        <v/>
      </c>
      <c r="AP7" s="3" t="inlineStr">
        <is>
          <t>Headcount × each team's travelling percentage. A local team of 30 needs no beds; a commissioning team of 18 needs 17.</t>
        </is>
      </c>
    </row>
    <row r="8">
      <c r="B8" s="4" t="inlineStr">
        <is>
          <t>Local / commuting workers</t>
        </is>
      </c>
      <c r="C8" s="37">
        <f>Workforce!C$29-C7</f>
        <v/>
      </c>
      <c r="D8" s="37">
        <f>Workforce!D$29-D7</f>
        <v/>
      </c>
      <c r="E8" s="37">
        <f>Workforce!E$29-E7</f>
        <v/>
      </c>
      <c r="F8" s="37">
        <f>Workforce!F$29-F7</f>
        <v/>
      </c>
      <c r="G8" s="37">
        <f>Workforce!G$29-G7</f>
        <v/>
      </c>
      <c r="H8" s="37">
        <f>Workforce!H$29-H7</f>
        <v/>
      </c>
      <c r="I8" s="37">
        <f>Workforce!I$29-I7</f>
        <v/>
      </c>
      <c r="J8" s="37">
        <f>Workforce!J$29-J7</f>
        <v/>
      </c>
      <c r="K8" s="37">
        <f>Workforce!K$29-K7</f>
        <v/>
      </c>
      <c r="L8" s="37">
        <f>Workforce!L$29-L7</f>
        <v/>
      </c>
      <c r="M8" s="37">
        <f>Workforce!M$29-M7</f>
        <v/>
      </c>
      <c r="N8" s="37">
        <f>Workforce!N$29-N7</f>
        <v/>
      </c>
      <c r="O8" s="37">
        <f>Workforce!O$29-O7</f>
        <v/>
      </c>
      <c r="P8" s="37">
        <f>Workforce!P$29-P7</f>
        <v/>
      </c>
      <c r="Q8" s="37">
        <f>Workforce!Q$29-Q7</f>
        <v/>
      </c>
      <c r="R8" s="37">
        <f>Workforce!R$29-R7</f>
        <v/>
      </c>
      <c r="S8" s="37">
        <f>Workforce!S$29-S7</f>
        <v/>
      </c>
      <c r="T8" s="37">
        <f>Workforce!T$29-T7</f>
        <v/>
      </c>
      <c r="U8" s="37">
        <f>Workforce!U$29-U7</f>
        <v/>
      </c>
      <c r="V8" s="37">
        <f>Workforce!V$29-V7</f>
        <v/>
      </c>
      <c r="W8" s="37">
        <f>Workforce!W$29-W7</f>
        <v/>
      </c>
      <c r="X8" s="37">
        <f>Workforce!X$29-X7</f>
        <v/>
      </c>
      <c r="Y8" s="37">
        <f>Workforce!Y$29-Y7</f>
        <v/>
      </c>
      <c r="Z8" s="37">
        <f>Workforce!Z$29-Z7</f>
        <v/>
      </c>
      <c r="AA8" s="37">
        <f>Workforce!AA$29-AA7</f>
        <v/>
      </c>
      <c r="AB8" s="37">
        <f>Workforce!AB$29-AB7</f>
        <v/>
      </c>
      <c r="AC8" s="37">
        <f>Workforce!AC$29-AC7</f>
        <v/>
      </c>
      <c r="AD8" s="37">
        <f>Workforce!AD$29-AD7</f>
        <v/>
      </c>
      <c r="AE8" s="37">
        <f>Workforce!AE$29-AE7</f>
        <v/>
      </c>
      <c r="AF8" s="37">
        <f>Workforce!AF$29-AF7</f>
        <v/>
      </c>
      <c r="AG8" s="37">
        <f>Workforce!AG$29-AG7</f>
        <v/>
      </c>
      <c r="AH8" s="37">
        <f>Workforce!AH$29-AH7</f>
        <v/>
      </c>
      <c r="AI8" s="37">
        <f>Workforce!AI$29-AI7</f>
        <v/>
      </c>
      <c r="AJ8" s="37">
        <f>Workforce!AJ$29-AJ7</f>
        <v/>
      </c>
      <c r="AK8" s="37">
        <f>Workforce!AK$29-AK7</f>
        <v/>
      </c>
      <c r="AL8" s="37">
        <f>Workforce!AL$29-AL7</f>
        <v/>
      </c>
      <c r="AM8" s="37">
        <f>Workforce!AM$29-AM7</f>
        <v/>
      </c>
      <c r="AN8" s="37">
        <f>Workforce!AN$29-AN7</f>
        <v/>
      </c>
      <c r="AP8" s="3" t="inlineStr">
        <is>
          <t>Go home at night. They still eat, park and use welfare on site.</t>
        </is>
      </c>
    </row>
    <row r="9">
      <c r="B9" s="4" t="inlineStr">
        <is>
          <t>Present at any one time (rotation applied)</t>
        </is>
      </c>
      <c r="C9" s="37">
        <f>C7*Assumptions!$C$17</f>
        <v/>
      </c>
      <c r="D9" s="37">
        <f>D7*Assumptions!$C$17</f>
        <v/>
      </c>
      <c r="E9" s="37">
        <f>E7*Assumptions!$C$17</f>
        <v/>
      </c>
      <c r="F9" s="37">
        <f>F7*Assumptions!$C$17</f>
        <v/>
      </c>
      <c r="G9" s="37">
        <f>G7*Assumptions!$C$17</f>
        <v/>
      </c>
      <c r="H9" s="37">
        <f>H7*Assumptions!$C$17</f>
        <v/>
      </c>
      <c r="I9" s="37">
        <f>I7*Assumptions!$C$17</f>
        <v/>
      </c>
      <c r="J9" s="37">
        <f>J7*Assumptions!$C$17</f>
        <v/>
      </c>
      <c r="K9" s="37">
        <f>K7*Assumptions!$C$17</f>
        <v/>
      </c>
      <c r="L9" s="37">
        <f>L7*Assumptions!$C$17</f>
        <v/>
      </c>
      <c r="M9" s="37">
        <f>M7*Assumptions!$C$17</f>
        <v/>
      </c>
      <c r="N9" s="37">
        <f>N7*Assumptions!$C$17</f>
        <v/>
      </c>
      <c r="O9" s="37">
        <f>O7*Assumptions!$C$17</f>
        <v/>
      </c>
      <c r="P9" s="37">
        <f>P7*Assumptions!$C$17</f>
        <v/>
      </c>
      <c r="Q9" s="37">
        <f>Q7*Assumptions!$C$17</f>
        <v/>
      </c>
      <c r="R9" s="37">
        <f>R7*Assumptions!$C$17</f>
        <v/>
      </c>
      <c r="S9" s="37">
        <f>S7*Assumptions!$C$17</f>
        <v/>
      </c>
      <c r="T9" s="37">
        <f>T7*Assumptions!$C$17</f>
        <v/>
      </c>
      <c r="U9" s="37">
        <f>U7*Assumptions!$C$17</f>
        <v/>
      </c>
      <c r="V9" s="37">
        <f>V7*Assumptions!$C$17</f>
        <v/>
      </c>
      <c r="W9" s="37">
        <f>W7*Assumptions!$C$17</f>
        <v/>
      </c>
      <c r="X9" s="37">
        <f>X7*Assumptions!$C$17</f>
        <v/>
      </c>
      <c r="Y9" s="37">
        <f>Y7*Assumptions!$C$17</f>
        <v/>
      </c>
      <c r="Z9" s="37">
        <f>Z7*Assumptions!$C$17</f>
        <v/>
      </c>
      <c r="AA9" s="37">
        <f>AA7*Assumptions!$C$17</f>
        <v/>
      </c>
      <c r="AB9" s="37">
        <f>AB7*Assumptions!$C$17</f>
        <v/>
      </c>
      <c r="AC9" s="37">
        <f>AC7*Assumptions!$C$17</f>
        <v/>
      </c>
      <c r="AD9" s="37">
        <f>AD7*Assumptions!$C$17</f>
        <v/>
      </c>
      <c r="AE9" s="37">
        <f>AE7*Assumptions!$C$17</f>
        <v/>
      </c>
      <c r="AF9" s="37">
        <f>AF7*Assumptions!$C$17</f>
        <v/>
      </c>
      <c r="AG9" s="37">
        <f>AG7*Assumptions!$C$17</f>
        <v/>
      </c>
      <c r="AH9" s="37">
        <f>AH7*Assumptions!$C$17</f>
        <v/>
      </c>
      <c r="AI9" s="37">
        <f>AI7*Assumptions!$C$17</f>
        <v/>
      </c>
      <c r="AJ9" s="37">
        <f>AJ7*Assumptions!$C$17</f>
        <v/>
      </c>
      <c r="AK9" s="37">
        <f>AK7*Assumptions!$C$17</f>
        <v/>
      </c>
      <c r="AL9" s="37">
        <f>AL7*Assumptions!$C$17</f>
        <v/>
      </c>
      <c r="AM9" s="37">
        <f>AM7*Assumptions!$C$17</f>
        <v/>
      </c>
      <c r="AN9" s="37">
        <f>AN7*Assumptions!$C$17</f>
        <v/>
      </c>
      <c r="AP9" s="3" t="inlineStr">
        <is>
          <t>A rotation means not everyone is on site at once. At 1.00 this line equals the one above.</t>
        </is>
      </c>
    </row>
    <row r="10">
      <c r="B10" s="4" t="inlineStr">
        <is>
          <t>Rooms required for residents</t>
        </is>
      </c>
      <c r="C10" s="37">
        <f>ROUNDUP(C9*Assumptions!$C$16,0)</f>
        <v/>
      </c>
      <c r="D10" s="37">
        <f>ROUNDUP(D9*Assumptions!$C$16,0)</f>
        <v/>
      </c>
      <c r="E10" s="37">
        <f>ROUNDUP(E9*Assumptions!$C$16,0)</f>
        <v/>
      </c>
      <c r="F10" s="37">
        <f>ROUNDUP(F9*Assumptions!$C$16,0)</f>
        <v/>
      </c>
      <c r="G10" s="37">
        <f>ROUNDUP(G9*Assumptions!$C$16,0)</f>
        <v/>
      </c>
      <c r="H10" s="37">
        <f>ROUNDUP(H9*Assumptions!$C$16,0)</f>
        <v/>
      </c>
      <c r="I10" s="37">
        <f>ROUNDUP(I9*Assumptions!$C$16,0)</f>
        <v/>
      </c>
      <c r="J10" s="37">
        <f>ROUNDUP(J9*Assumptions!$C$16,0)</f>
        <v/>
      </c>
      <c r="K10" s="37">
        <f>ROUNDUP(K9*Assumptions!$C$16,0)</f>
        <v/>
      </c>
      <c r="L10" s="37">
        <f>ROUNDUP(L9*Assumptions!$C$16,0)</f>
        <v/>
      </c>
      <c r="M10" s="37">
        <f>ROUNDUP(M9*Assumptions!$C$16,0)</f>
        <v/>
      </c>
      <c r="N10" s="37">
        <f>ROUNDUP(N9*Assumptions!$C$16,0)</f>
        <v/>
      </c>
      <c r="O10" s="37">
        <f>ROUNDUP(O9*Assumptions!$C$16,0)</f>
        <v/>
      </c>
      <c r="P10" s="37">
        <f>ROUNDUP(P9*Assumptions!$C$16,0)</f>
        <v/>
      </c>
      <c r="Q10" s="37">
        <f>ROUNDUP(Q9*Assumptions!$C$16,0)</f>
        <v/>
      </c>
      <c r="R10" s="37">
        <f>ROUNDUP(R9*Assumptions!$C$16,0)</f>
        <v/>
      </c>
      <c r="S10" s="37">
        <f>ROUNDUP(S9*Assumptions!$C$16,0)</f>
        <v/>
      </c>
      <c r="T10" s="37">
        <f>ROUNDUP(T9*Assumptions!$C$16,0)</f>
        <v/>
      </c>
      <c r="U10" s="37">
        <f>ROUNDUP(U9*Assumptions!$C$16,0)</f>
        <v/>
      </c>
      <c r="V10" s="37">
        <f>ROUNDUP(V9*Assumptions!$C$16,0)</f>
        <v/>
      </c>
      <c r="W10" s="37">
        <f>ROUNDUP(W9*Assumptions!$C$16,0)</f>
        <v/>
      </c>
      <c r="X10" s="37">
        <f>ROUNDUP(X9*Assumptions!$C$16,0)</f>
        <v/>
      </c>
      <c r="Y10" s="37">
        <f>ROUNDUP(Y9*Assumptions!$C$16,0)</f>
        <v/>
      </c>
      <c r="Z10" s="37">
        <f>ROUNDUP(Z9*Assumptions!$C$16,0)</f>
        <v/>
      </c>
      <c r="AA10" s="37">
        <f>ROUNDUP(AA9*Assumptions!$C$16,0)</f>
        <v/>
      </c>
      <c r="AB10" s="37">
        <f>ROUNDUP(AB9*Assumptions!$C$16,0)</f>
        <v/>
      </c>
      <c r="AC10" s="37">
        <f>ROUNDUP(AC9*Assumptions!$C$16,0)</f>
        <v/>
      </c>
      <c r="AD10" s="37">
        <f>ROUNDUP(AD9*Assumptions!$C$16,0)</f>
        <v/>
      </c>
      <c r="AE10" s="37">
        <f>ROUNDUP(AE9*Assumptions!$C$16,0)</f>
        <v/>
      </c>
      <c r="AF10" s="37">
        <f>ROUNDUP(AF9*Assumptions!$C$16,0)</f>
        <v/>
      </c>
      <c r="AG10" s="37">
        <f>ROUNDUP(AG9*Assumptions!$C$16,0)</f>
        <v/>
      </c>
      <c r="AH10" s="37">
        <f>ROUNDUP(AH9*Assumptions!$C$16,0)</f>
        <v/>
      </c>
      <c r="AI10" s="37">
        <f>ROUNDUP(AI9*Assumptions!$C$16,0)</f>
        <v/>
      </c>
      <c r="AJ10" s="37">
        <f>ROUNDUP(AJ9*Assumptions!$C$16,0)</f>
        <v/>
      </c>
      <c r="AK10" s="37">
        <f>ROUNDUP(AK9*Assumptions!$C$16,0)</f>
        <v/>
      </c>
      <c r="AL10" s="37">
        <f>ROUNDUP(AL9*Assumptions!$C$16,0)</f>
        <v/>
      </c>
      <c r="AM10" s="37">
        <f>ROUNDUP(AM9*Assumptions!$C$16,0)</f>
        <v/>
      </c>
      <c r="AN10" s="37">
        <f>ROUNDUP(AN9*Assumptions!$C$16,0)</f>
        <v/>
      </c>
    </row>
    <row r="11">
      <c r="B11" s="4" t="inlineStr">
        <is>
          <t>Void and turnover allowance</t>
        </is>
      </c>
      <c r="C11" s="37">
        <f>ROUNDUP(C10*Assumptions!$C$18,0)</f>
        <v/>
      </c>
      <c r="D11" s="37">
        <f>ROUNDUP(D10*Assumptions!$C$18,0)</f>
        <v/>
      </c>
      <c r="E11" s="37">
        <f>ROUNDUP(E10*Assumptions!$C$18,0)</f>
        <v/>
      </c>
      <c r="F11" s="37">
        <f>ROUNDUP(F10*Assumptions!$C$18,0)</f>
        <v/>
      </c>
      <c r="G11" s="37">
        <f>ROUNDUP(G10*Assumptions!$C$18,0)</f>
        <v/>
      </c>
      <c r="H11" s="37">
        <f>ROUNDUP(H10*Assumptions!$C$18,0)</f>
        <v/>
      </c>
      <c r="I11" s="37">
        <f>ROUNDUP(I10*Assumptions!$C$18,0)</f>
        <v/>
      </c>
      <c r="J11" s="37">
        <f>ROUNDUP(J10*Assumptions!$C$18,0)</f>
        <v/>
      </c>
      <c r="K11" s="37">
        <f>ROUNDUP(K10*Assumptions!$C$18,0)</f>
        <v/>
      </c>
      <c r="L11" s="37">
        <f>ROUNDUP(L10*Assumptions!$C$18,0)</f>
        <v/>
      </c>
      <c r="M11" s="37">
        <f>ROUNDUP(M10*Assumptions!$C$18,0)</f>
        <v/>
      </c>
      <c r="N11" s="37">
        <f>ROUNDUP(N10*Assumptions!$C$18,0)</f>
        <v/>
      </c>
      <c r="O11" s="37">
        <f>ROUNDUP(O10*Assumptions!$C$18,0)</f>
        <v/>
      </c>
      <c r="P11" s="37">
        <f>ROUNDUP(P10*Assumptions!$C$18,0)</f>
        <v/>
      </c>
      <c r="Q11" s="37">
        <f>ROUNDUP(Q10*Assumptions!$C$18,0)</f>
        <v/>
      </c>
      <c r="R11" s="37">
        <f>ROUNDUP(R10*Assumptions!$C$18,0)</f>
        <v/>
      </c>
      <c r="S11" s="37">
        <f>ROUNDUP(S10*Assumptions!$C$18,0)</f>
        <v/>
      </c>
      <c r="T11" s="37">
        <f>ROUNDUP(T10*Assumptions!$C$18,0)</f>
        <v/>
      </c>
      <c r="U11" s="37">
        <f>ROUNDUP(U10*Assumptions!$C$18,0)</f>
        <v/>
      </c>
      <c r="V11" s="37">
        <f>ROUNDUP(V10*Assumptions!$C$18,0)</f>
        <v/>
      </c>
      <c r="W11" s="37">
        <f>ROUNDUP(W10*Assumptions!$C$18,0)</f>
        <v/>
      </c>
      <c r="X11" s="37">
        <f>ROUNDUP(X10*Assumptions!$C$18,0)</f>
        <v/>
      </c>
      <c r="Y11" s="37">
        <f>ROUNDUP(Y10*Assumptions!$C$18,0)</f>
        <v/>
      </c>
      <c r="Z11" s="37">
        <f>ROUNDUP(Z10*Assumptions!$C$18,0)</f>
        <v/>
      </c>
      <c r="AA11" s="37">
        <f>ROUNDUP(AA10*Assumptions!$C$18,0)</f>
        <v/>
      </c>
      <c r="AB11" s="37">
        <f>ROUNDUP(AB10*Assumptions!$C$18,0)</f>
        <v/>
      </c>
      <c r="AC11" s="37">
        <f>ROUNDUP(AC10*Assumptions!$C$18,0)</f>
        <v/>
      </c>
      <c r="AD11" s="37">
        <f>ROUNDUP(AD10*Assumptions!$C$18,0)</f>
        <v/>
      </c>
      <c r="AE11" s="37">
        <f>ROUNDUP(AE10*Assumptions!$C$18,0)</f>
        <v/>
      </c>
      <c r="AF11" s="37">
        <f>ROUNDUP(AF10*Assumptions!$C$18,0)</f>
        <v/>
      </c>
      <c r="AG11" s="37">
        <f>ROUNDUP(AG10*Assumptions!$C$18,0)</f>
        <v/>
      </c>
      <c r="AH11" s="37">
        <f>ROUNDUP(AH10*Assumptions!$C$18,0)</f>
        <v/>
      </c>
      <c r="AI11" s="37">
        <f>ROUNDUP(AI10*Assumptions!$C$18,0)</f>
        <v/>
      </c>
      <c r="AJ11" s="37">
        <f>ROUNDUP(AJ10*Assumptions!$C$18,0)</f>
        <v/>
      </c>
      <c r="AK11" s="37">
        <f>ROUNDUP(AK10*Assumptions!$C$18,0)</f>
        <v/>
      </c>
      <c r="AL11" s="37">
        <f>ROUNDUP(AL10*Assumptions!$C$18,0)</f>
        <v/>
      </c>
      <c r="AM11" s="37">
        <f>ROUNDUP(AM10*Assumptions!$C$18,0)</f>
        <v/>
      </c>
      <c r="AN11" s="37">
        <f>ROUNDUP(AN10*Assumptions!$C$18,0)</f>
        <v/>
      </c>
      <c r="AP11" s="3" t="inlineStr">
        <is>
          <t>Rooms unavailable for cleaning, changeover, damage or maintenance.</t>
        </is>
      </c>
    </row>
    <row r="12">
      <c r="B12" s="4" t="inlineStr">
        <is>
          <t>Contingency</t>
        </is>
      </c>
      <c r="C12" s="37">
        <f>ROUNDUP(C10*Assumptions!$C$19,0)</f>
        <v/>
      </c>
      <c r="D12" s="37">
        <f>ROUNDUP(D10*Assumptions!$C$19,0)</f>
        <v/>
      </c>
      <c r="E12" s="37">
        <f>ROUNDUP(E10*Assumptions!$C$19,0)</f>
        <v/>
      </c>
      <c r="F12" s="37">
        <f>ROUNDUP(F10*Assumptions!$C$19,0)</f>
        <v/>
      </c>
      <c r="G12" s="37">
        <f>ROUNDUP(G10*Assumptions!$C$19,0)</f>
        <v/>
      </c>
      <c r="H12" s="37">
        <f>ROUNDUP(H10*Assumptions!$C$19,0)</f>
        <v/>
      </c>
      <c r="I12" s="37">
        <f>ROUNDUP(I10*Assumptions!$C$19,0)</f>
        <v/>
      </c>
      <c r="J12" s="37">
        <f>ROUNDUP(J10*Assumptions!$C$19,0)</f>
        <v/>
      </c>
      <c r="K12" s="37">
        <f>ROUNDUP(K10*Assumptions!$C$19,0)</f>
        <v/>
      </c>
      <c r="L12" s="37">
        <f>ROUNDUP(L10*Assumptions!$C$19,0)</f>
        <v/>
      </c>
      <c r="M12" s="37">
        <f>ROUNDUP(M10*Assumptions!$C$19,0)</f>
        <v/>
      </c>
      <c r="N12" s="37">
        <f>ROUNDUP(N10*Assumptions!$C$19,0)</f>
        <v/>
      </c>
      <c r="O12" s="37">
        <f>ROUNDUP(O10*Assumptions!$C$19,0)</f>
        <v/>
      </c>
      <c r="P12" s="37">
        <f>ROUNDUP(P10*Assumptions!$C$19,0)</f>
        <v/>
      </c>
      <c r="Q12" s="37">
        <f>ROUNDUP(Q10*Assumptions!$C$19,0)</f>
        <v/>
      </c>
      <c r="R12" s="37">
        <f>ROUNDUP(R10*Assumptions!$C$19,0)</f>
        <v/>
      </c>
      <c r="S12" s="37">
        <f>ROUNDUP(S10*Assumptions!$C$19,0)</f>
        <v/>
      </c>
      <c r="T12" s="37">
        <f>ROUNDUP(T10*Assumptions!$C$19,0)</f>
        <v/>
      </c>
      <c r="U12" s="37">
        <f>ROUNDUP(U10*Assumptions!$C$19,0)</f>
        <v/>
      </c>
      <c r="V12" s="37">
        <f>ROUNDUP(V10*Assumptions!$C$19,0)</f>
        <v/>
      </c>
      <c r="W12" s="37">
        <f>ROUNDUP(W10*Assumptions!$C$19,0)</f>
        <v/>
      </c>
      <c r="X12" s="37">
        <f>ROUNDUP(X10*Assumptions!$C$19,0)</f>
        <v/>
      </c>
      <c r="Y12" s="37">
        <f>ROUNDUP(Y10*Assumptions!$C$19,0)</f>
        <v/>
      </c>
      <c r="Z12" s="37">
        <f>ROUNDUP(Z10*Assumptions!$C$19,0)</f>
        <v/>
      </c>
      <c r="AA12" s="37">
        <f>ROUNDUP(AA10*Assumptions!$C$19,0)</f>
        <v/>
      </c>
      <c r="AB12" s="37">
        <f>ROUNDUP(AB10*Assumptions!$C$19,0)</f>
        <v/>
      </c>
      <c r="AC12" s="37">
        <f>ROUNDUP(AC10*Assumptions!$C$19,0)</f>
        <v/>
      </c>
      <c r="AD12" s="37">
        <f>ROUNDUP(AD10*Assumptions!$C$19,0)</f>
        <v/>
      </c>
      <c r="AE12" s="37">
        <f>ROUNDUP(AE10*Assumptions!$C$19,0)</f>
        <v/>
      </c>
      <c r="AF12" s="37">
        <f>ROUNDUP(AF10*Assumptions!$C$19,0)</f>
        <v/>
      </c>
      <c r="AG12" s="37">
        <f>ROUNDUP(AG10*Assumptions!$C$19,0)</f>
        <v/>
      </c>
      <c r="AH12" s="37">
        <f>ROUNDUP(AH10*Assumptions!$C$19,0)</f>
        <v/>
      </c>
      <c r="AI12" s="37">
        <f>ROUNDUP(AI10*Assumptions!$C$19,0)</f>
        <v/>
      </c>
      <c r="AJ12" s="37">
        <f>ROUNDUP(AJ10*Assumptions!$C$19,0)</f>
        <v/>
      </c>
      <c r="AK12" s="37">
        <f>ROUNDUP(AK10*Assumptions!$C$19,0)</f>
        <v/>
      </c>
      <c r="AL12" s="37">
        <f>ROUNDUP(AL10*Assumptions!$C$19,0)</f>
        <v/>
      </c>
      <c r="AM12" s="37">
        <f>ROUNDUP(AM10*Assumptions!$C$19,0)</f>
        <v/>
      </c>
      <c r="AN12" s="37">
        <f>ROUNDUP(AN10*Assumptions!$C$19,0)</f>
        <v/>
      </c>
    </row>
    <row r="13">
      <c r="B13" s="4" t="inlineStr">
        <is>
          <t>Visitor and spare rooms</t>
        </is>
      </c>
      <c r="C13" s="37">
        <f>IF(C10&gt;0,Assumptions!$C$23,0)</f>
        <v/>
      </c>
      <c r="D13" s="37">
        <f>IF(D10&gt;0,Assumptions!$C$23,0)</f>
        <v/>
      </c>
      <c r="E13" s="37">
        <f>IF(E10&gt;0,Assumptions!$C$23,0)</f>
        <v/>
      </c>
      <c r="F13" s="37">
        <f>IF(F10&gt;0,Assumptions!$C$23,0)</f>
        <v/>
      </c>
      <c r="G13" s="37">
        <f>IF(G10&gt;0,Assumptions!$C$23,0)</f>
        <v/>
      </c>
      <c r="H13" s="37">
        <f>IF(H10&gt;0,Assumptions!$C$23,0)</f>
        <v/>
      </c>
      <c r="I13" s="37">
        <f>IF(I10&gt;0,Assumptions!$C$23,0)</f>
        <v/>
      </c>
      <c r="J13" s="37">
        <f>IF(J10&gt;0,Assumptions!$C$23,0)</f>
        <v/>
      </c>
      <c r="K13" s="37">
        <f>IF(K10&gt;0,Assumptions!$C$23,0)</f>
        <v/>
      </c>
      <c r="L13" s="37">
        <f>IF(L10&gt;0,Assumptions!$C$23,0)</f>
        <v/>
      </c>
      <c r="M13" s="37">
        <f>IF(M10&gt;0,Assumptions!$C$23,0)</f>
        <v/>
      </c>
      <c r="N13" s="37">
        <f>IF(N10&gt;0,Assumptions!$C$23,0)</f>
        <v/>
      </c>
      <c r="O13" s="37">
        <f>IF(O10&gt;0,Assumptions!$C$23,0)</f>
        <v/>
      </c>
      <c r="P13" s="37">
        <f>IF(P10&gt;0,Assumptions!$C$23,0)</f>
        <v/>
      </c>
      <c r="Q13" s="37">
        <f>IF(Q10&gt;0,Assumptions!$C$23,0)</f>
        <v/>
      </c>
      <c r="R13" s="37">
        <f>IF(R10&gt;0,Assumptions!$C$23,0)</f>
        <v/>
      </c>
      <c r="S13" s="37">
        <f>IF(S10&gt;0,Assumptions!$C$23,0)</f>
        <v/>
      </c>
      <c r="T13" s="37">
        <f>IF(T10&gt;0,Assumptions!$C$23,0)</f>
        <v/>
      </c>
      <c r="U13" s="37">
        <f>IF(U10&gt;0,Assumptions!$C$23,0)</f>
        <v/>
      </c>
      <c r="V13" s="37">
        <f>IF(V10&gt;0,Assumptions!$C$23,0)</f>
        <v/>
      </c>
      <c r="W13" s="37">
        <f>IF(W10&gt;0,Assumptions!$C$23,0)</f>
        <v/>
      </c>
      <c r="X13" s="37">
        <f>IF(X10&gt;0,Assumptions!$C$23,0)</f>
        <v/>
      </c>
      <c r="Y13" s="37">
        <f>IF(Y10&gt;0,Assumptions!$C$23,0)</f>
        <v/>
      </c>
      <c r="Z13" s="37">
        <f>IF(Z10&gt;0,Assumptions!$C$23,0)</f>
        <v/>
      </c>
      <c r="AA13" s="37">
        <f>IF(AA10&gt;0,Assumptions!$C$23,0)</f>
        <v/>
      </c>
      <c r="AB13" s="37">
        <f>IF(AB10&gt;0,Assumptions!$C$23,0)</f>
        <v/>
      </c>
      <c r="AC13" s="37">
        <f>IF(AC10&gt;0,Assumptions!$C$23,0)</f>
        <v/>
      </c>
      <c r="AD13" s="37">
        <f>IF(AD10&gt;0,Assumptions!$C$23,0)</f>
        <v/>
      </c>
      <c r="AE13" s="37">
        <f>IF(AE10&gt;0,Assumptions!$C$23,0)</f>
        <v/>
      </c>
      <c r="AF13" s="37">
        <f>IF(AF10&gt;0,Assumptions!$C$23,0)</f>
        <v/>
      </c>
      <c r="AG13" s="37">
        <f>IF(AG10&gt;0,Assumptions!$C$23,0)</f>
        <v/>
      </c>
      <c r="AH13" s="37">
        <f>IF(AH10&gt;0,Assumptions!$C$23,0)</f>
        <v/>
      </c>
      <c r="AI13" s="37">
        <f>IF(AI10&gt;0,Assumptions!$C$23,0)</f>
        <v/>
      </c>
      <c r="AJ13" s="37">
        <f>IF(AJ10&gt;0,Assumptions!$C$23,0)</f>
        <v/>
      </c>
      <c r="AK13" s="37">
        <f>IF(AK10&gt;0,Assumptions!$C$23,0)</f>
        <v/>
      </c>
      <c r="AL13" s="37">
        <f>IF(AL10&gt;0,Assumptions!$C$23,0)</f>
        <v/>
      </c>
      <c r="AM13" s="37">
        <f>IF(AM10&gt;0,Assumptions!$C$23,0)</f>
        <v/>
      </c>
      <c r="AN13" s="37">
        <f>IF(AN10&gt;0,Assumptions!$C$23,0)</f>
        <v/>
      </c>
    </row>
    <row r="14">
      <c r="B14" s="6" t="inlineStr">
        <is>
          <t>TOTAL ROOMS REQUIRED</t>
        </is>
      </c>
      <c r="C14" s="35">
        <f>SUM(C10:C13)</f>
        <v/>
      </c>
      <c r="D14" s="35">
        <f>SUM(D10:D13)</f>
        <v/>
      </c>
      <c r="E14" s="35">
        <f>SUM(E10:E13)</f>
        <v/>
      </c>
      <c r="F14" s="35">
        <f>SUM(F10:F13)</f>
        <v/>
      </c>
      <c r="G14" s="35">
        <f>SUM(G10:G13)</f>
        <v/>
      </c>
      <c r="H14" s="35">
        <f>SUM(H10:H13)</f>
        <v/>
      </c>
      <c r="I14" s="35">
        <f>SUM(I10:I13)</f>
        <v/>
      </c>
      <c r="J14" s="35">
        <f>SUM(J10:J13)</f>
        <v/>
      </c>
      <c r="K14" s="35">
        <f>SUM(K10:K13)</f>
        <v/>
      </c>
      <c r="L14" s="35">
        <f>SUM(L10:L13)</f>
        <v/>
      </c>
      <c r="M14" s="35">
        <f>SUM(M10:M13)</f>
        <v/>
      </c>
      <c r="N14" s="35">
        <f>SUM(N10:N13)</f>
        <v/>
      </c>
      <c r="O14" s="35">
        <f>SUM(O10:O13)</f>
        <v/>
      </c>
      <c r="P14" s="35">
        <f>SUM(P10:P13)</f>
        <v/>
      </c>
      <c r="Q14" s="35">
        <f>SUM(Q10:Q13)</f>
        <v/>
      </c>
      <c r="R14" s="35">
        <f>SUM(R10:R13)</f>
        <v/>
      </c>
      <c r="S14" s="35">
        <f>SUM(S10:S13)</f>
        <v/>
      </c>
      <c r="T14" s="35">
        <f>SUM(T10:T13)</f>
        <v/>
      </c>
      <c r="U14" s="35">
        <f>SUM(U10:U13)</f>
        <v/>
      </c>
      <c r="V14" s="35">
        <f>SUM(V10:V13)</f>
        <v/>
      </c>
      <c r="W14" s="35">
        <f>SUM(W10:W13)</f>
        <v/>
      </c>
      <c r="X14" s="35">
        <f>SUM(X10:X13)</f>
        <v/>
      </c>
      <c r="Y14" s="35">
        <f>SUM(Y10:Y13)</f>
        <v/>
      </c>
      <c r="Z14" s="35">
        <f>SUM(Z10:Z13)</f>
        <v/>
      </c>
      <c r="AA14" s="35">
        <f>SUM(AA10:AA13)</f>
        <v/>
      </c>
      <c r="AB14" s="35">
        <f>SUM(AB10:AB13)</f>
        <v/>
      </c>
      <c r="AC14" s="35">
        <f>SUM(AC10:AC13)</f>
        <v/>
      </c>
      <c r="AD14" s="35">
        <f>SUM(AD10:AD13)</f>
        <v/>
      </c>
      <c r="AE14" s="35">
        <f>SUM(AE10:AE13)</f>
        <v/>
      </c>
      <c r="AF14" s="35">
        <f>SUM(AF10:AF13)</f>
        <v/>
      </c>
      <c r="AG14" s="35">
        <f>SUM(AG10:AG13)</f>
        <v/>
      </c>
      <c r="AH14" s="35">
        <f>SUM(AH10:AH13)</f>
        <v/>
      </c>
      <c r="AI14" s="35">
        <f>SUM(AI10:AI13)</f>
        <v/>
      </c>
      <c r="AJ14" s="35">
        <f>SUM(AJ10:AJ13)</f>
        <v/>
      </c>
      <c r="AK14" s="35">
        <f>SUM(AK10:AK13)</f>
        <v/>
      </c>
      <c r="AL14" s="35">
        <f>SUM(AL10:AL13)</f>
        <v/>
      </c>
      <c r="AM14" s="35">
        <f>SUM(AM10:AM13)</f>
        <v/>
      </c>
      <c r="AN14" s="35">
        <f>SUM(AN10:AN13)</f>
        <v/>
      </c>
      <c r="AP14" s="3" t="inlineStr">
        <is>
          <t>This curve is what the village must satisfy. The peak sizes it; the shape decides whether you phase it.</t>
        </is>
      </c>
    </row>
    <row r="15">
      <c r="B15" s="3" t="inlineStr">
        <is>
          <t>Helper — month number where rooms are needed</t>
        </is>
      </c>
      <c r="C15" s="47">
        <f>IF(C14&gt;0,C$6,"")</f>
        <v/>
      </c>
      <c r="D15" s="47">
        <f>IF(D14&gt;0,D$6,"")</f>
        <v/>
      </c>
      <c r="E15" s="47">
        <f>IF(E14&gt;0,E$6,"")</f>
        <v/>
      </c>
      <c r="F15" s="47">
        <f>IF(F14&gt;0,F$6,"")</f>
        <v/>
      </c>
      <c r="G15" s="47">
        <f>IF(G14&gt;0,G$6,"")</f>
        <v/>
      </c>
      <c r="H15" s="47">
        <f>IF(H14&gt;0,H$6,"")</f>
        <v/>
      </c>
      <c r="I15" s="47">
        <f>IF(I14&gt;0,I$6,"")</f>
        <v/>
      </c>
      <c r="J15" s="47">
        <f>IF(J14&gt;0,J$6,"")</f>
        <v/>
      </c>
      <c r="K15" s="47">
        <f>IF(K14&gt;0,K$6,"")</f>
        <v/>
      </c>
      <c r="L15" s="47">
        <f>IF(L14&gt;0,L$6,"")</f>
        <v/>
      </c>
      <c r="M15" s="47">
        <f>IF(M14&gt;0,M$6,"")</f>
        <v/>
      </c>
      <c r="N15" s="47">
        <f>IF(N14&gt;0,N$6,"")</f>
        <v/>
      </c>
      <c r="O15" s="47">
        <f>IF(O14&gt;0,O$6,"")</f>
        <v/>
      </c>
      <c r="P15" s="47">
        <f>IF(P14&gt;0,P$6,"")</f>
        <v/>
      </c>
      <c r="Q15" s="47">
        <f>IF(Q14&gt;0,Q$6,"")</f>
        <v/>
      </c>
      <c r="R15" s="47">
        <f>IF(R14&gt;0,R$6,"")</f>
        <v/>
      </c>
      <c r="S15" s="47">
        <f>IF(S14&gt;0,S$6,"")</f>
        <v/>
      </c>
      <c r="T15" s="47">
        <f>IF(T14&gt;0,T$6,"")</f>
        <v/>
      </c>
      <c r="U15" s="47">
        <f>IF(U14&gt;0,U$6,"")</f>
        <v/>
      </c>
      <c r="V15" s="47">
        <f>IF(V14&gt;0,V$6,"")</f>
        <v/>
      </c>
      <c r="W15" s="47">
        <f>IF(W14&gt;0,W$6,"")</f>
        <v/>
      </c>
      <c r="X15" s="47">
        <f>IF(X14&gt;0,X$6,"")</f>
        <v/>
      </c>
      <c r="Y15" s="47">
        <f>IF(Y14&gt;0,Y$6,"")</f>
        <v/>
      </c>
      <c r="Z15" s="47">
        <f>IF(Z14&gt;0,Z$6,"")</f>
        <v/>
      </c>
      <c r="AA15" s="47">
        <f>IF(AA14&gt;0,AA$6,"")</f>
        <v/>
      </c>
      <c r="AB15" s="47">
        <f>IF(AB14&gt;0,AB$6,"")</f>
        <v/>
      </c>
      <c r="AC15" s="47">
        <f>IF(AC14&gt;0,AC$6,"")</f>
        <v/>
      </c>
      <c r="AD15" s="47">
        <f>IF(AD14&gt;0,AD$6,"")</f>
        <v/>
      </c>
      <c r="AE15" s="47">
        <f>IF(AE14&gt;0,AE$6,"")</f>
        <v/>
      </c>
      <c r="AF15" s="47">
        <f>IF(AF14&gt;0,AF$6,"")</f>
        <v/>
      </c>
      <c r="AG15" s="47">
        <f>IF(AG14&gt;0,AG$6,"")</f>
        <v/>
      </c>
      <c r="AH15" s="47">
        <f>IF(AH14&gt;0,AH$6,"")</f>
        <v/>
      </c>
      <c r="AI15" s="47">
        <f>IF(AI14&gt;0,AI$6,"")</f>
        <v/>
      </c>
      <c r="AJ15" s="47">
        <f>IF(AJ14&gt;0,AJ$6,"")</f>
        <v/>
      </c>
      <c r="AK15" s="47">
        <f>IF(AK14&gt;0,AK$6,"")</f>
        <v/>
      </c>
      <c r="AL15" s="47">
        <f>IF(AL14&gt;0,AL$6,"")</f>
        <v/>
      </c>
      <c r="AM15" s="47">
        <f>IF(AM14&gt;0,AM$6,"")</f>
        <v/>
      </c>
      <c r="AN15" s="47">
        <f>IF(AN14&gt;0,AN$6,"")</f>
        <v/>
      </c>
    </row>
    <row r="16">
      <c r="B16" s="4" t="inlineStr">
        <is>
          <t>Occupancy rate against the built village</t>
        </is>
      </c>
      <c r="C16" s="38">
        <f>IF($C$22=0,0,C10/$C$22)</f>
        <v/>
      </c>
      <c r="D16" s="38">
        <f>IF($C$22=0,0,D10/$C$22)</f>
        <v/>
      </c>
      <c r="E16" s="38">
        <f>IF($C$22=0,0,E10/$C$22)</f>
        <v/>
      </c>
      <c r="F16" s="38">
        <f>IF($C$22=0,0,F10/$C$22)</f>
        <v/>
      </c>
      <c r="G16" s="38">
        <f>IF($C$22=0,0,G10/$C$22)</f>
        <v/>
      </c>
      <c r="H16" s="38">
        <f>IF($C$22=0,0,H10/$C$22)</f>
        <v/>
      </c>
      <c r="I16" s="38">
        <f>IF($C$22=0,0,I10/$C$22)</f>
        <v/>
      </c>
      <c r="J16" s="38">
        <f>IF($C$22=0,0,J10/$C$22)</f>
        <v/>
      </c>
      <c r="K16" s="38">
        <f>IF($C$22=0,0,K10/$C$22)</f>
        <v/>
      </c>
      <c r="L16" s="38">
        <f>IF($C$22=0,0,L10/$C$22)</f>
        <v/>
      </c>
      <c r="M16" s="38">
        <f>IF($C$22=0,0,M10/$C$22)</f>
        <v/>
      </c>
      <c r="N16" s="38">
        <f>IF($C$22=0,0,N10/$C$22)</f>
        <v/>
      </c>
      <c r="O16" s="38">
        <f>IF($C$22=0,0,O10/$C$22)</f>
        <v/>
      </c>
      <c r="P16" s="38">
        <f>IF($C$22=0,0,P10/$C$22)</f>
        <v/>
      </c>
      <c r="Q16" s="38">
        <f>IF($C$22=0,0,Q10/$C$22)</f>
        <v/>
      </c>
      <c r="R16" s="38">
        <f>IF($C$22=0,0,R10/$C$22)</f>
        <v/>
      </c>
      <c r="S16" s="38">
        <f>IF($C$22=0,0,S10/$C$22)</f>
        <v/>
      </c>
      <c r="T16" s="38">
        <f>IF($C$22=0,0,T10/$C$22)</f>
        <v/>
      </c>
      <c r="U16" s="38">
        <f>IF($C$22=0,0,U10/$C$22)</f>
        <v/>
      </c>
      <c r="V16" s="38">
        <f>IF($C$22=0,0,V10/$C$22)</f>
        <v/>
      </c>
      <c r="W16" s="38">
        <f>IF($C$22=0,0,W10/$C$22)</f>
        <v/>
      </c>
      <c r="X16" s="38">
        <f>IF($C$22=0,0,X10/$C$22)</f>
        <v/>
      </c>
      <c r="Y16" s="38">
        <f>IF($C$22=0,0,Y10/$C$22)</f>
        <v/>
      </c>
      <c r="Z16" s="38">
        <f>IF($C$22=0,0,Z10/$C$22)</f>
        <v/>
      </c>
      <c r="AA16" s="38">
        <f>IF($C$22=0,0,AA10/$C$22)</f>
        <v/>
      </c>
      <c r="AB16" s="38">
        <f>IF($C$22=0,0,AB10/$C$22)</f>
        <v/>
      </c>
      <c r="AC16" s="38">
        <f>IF($C$22=0,0,AC10/$C$22)</f>
        <v/>
      </c>
      <c r="AD16" s="38">
        <f>IF($C$22=0,0,AD10/$C$22)</f>
        <v/>
      </c>
      <c r="AE16" s="38">
        <f>IF($C$22=0,0,AE10/$C$22)</f>
        <v/>
      </c>
      <c r="AF16" s="38">
        <f>IF($C$22=0,0,AF10/$C$22)</f>
        <v/>
      </c>
      <c r="AG16" s="38">
        <f>IF($C$22=0,0,AG10/$C$22)</f>
        <v/>
      </c>
      <c r="AH16" s="38">
        <f>IF($C$22=0,0,AH10/$C$22)</f>
        <v/>
      </c>
      <c r="AI16" s="38">
        <f>IF($C$22=0,0,AI10/$C$22)</f>
        <v/>
      </c>
      <c r="AJ16" s="38">
        <f>IF($C$22=0,0,AJ10/$C$22)</f>
        <v/>
      </c>
      <c r="AK16" s="38">
        <f>IF($C$22=0,0,AK10/$C$22)</f>
        <v/>
      </c>
      <c r="AL16" s="38">
        <f>IF($C$22=0,0,AL10/$C$22)</f>
        <v/>
      </c>
      <c r="AM16" s="38">
        <f>IF($C$22=0,0,AM10/$C$22)</f>
        <v/>
      </c>
      <c r="AN16" s="38">
        <f>IF($C$22=0,0,AN10/$C$22)</f>
        <v/>
      </c>
      <c r="AP16" s="3" t="inlineStr">
        <is>
          <t>Against the peak-sized village. The low months are the cost of building for the peak.</t>
        </is>
      </c>
    </row>
    <row r="18">
      <c r="B18" s="39" t="inlineStr">
        <is>
          <t>THE NUMBERS THAT SIZE THE VILLAGE</t>
        </is>
      </c>
      <c r="C18" s="40" t="n"/>
      <c r="D18" s="40" t="n"/>
      <c r="E18" s="40" t="n"/>
      <c r="F18" s="40" t="n"/>
      <c r="G18" s="40" t="n"/>
      <c r="H18" s="40" t="n"/>
    </row>
    <row r="20">
      <c r="B20" s="4" t="inlineStr">
        <is>
          <t>Peak rooms required</t>
        </is>
      </c>
      <c r="C20" s="41">
        <f>MAX(C14:AN14)</f>
        <v/>
      </c>
      <c r="E20" s="3" t="inlineStr">
        <is>
          <t>The village is built to this.</t>
        </is>
      </c>
    </row>
    <row r="21">
      <c r="B21" s="4" t="inlineStr">
        <is>
          <t>Month of peak</t>
        </is>
      </c>
      <c r="C21" s="41">
        <f>MATCH(C20,C14:AN14,0)</f>
        <v/>
      </c>
      <c r="E21" s="3" t="inlineStr">
        <is>
          <t>Everything upstream must be finished before it.</t>
        </is>
      </c>
    </row>
    <row r="22">
      <c r="B22" s="4" t="inlineStr">
        <is>
          <t>Peak resident rooms (excluding void, contingency, visitors)</t>
        </is>
      </c>
      <c r="C22" s="41">
        <f>MAX(C10:AN10)</f>
        <v/>
      </c>
      <c r="E22" s="3" t="inlineStr"/>
    </row>
    <row r="23">
      <c r="B23" s="4" t="inlineStr">
        <is>
          <t>First month with any bed demand</t>
        </is>
      </c>
      <c r="C23" s="41">
        <f>MIN(C15:AN15)</f>
        <v/>
      </c>
      <c r="E23" s="3" t="inlineStr">
        <is>
          <t>The village must be live before this month, not in it.</t>
        </is>
      </c>
    </row>
    <row r="24">
      <c r="B24" s="4" t="inlineStr">
        <is>
          <t>Last month with bed demand</t>
        </is>
      </c>
      <c r="C24" s="41">
        <f>MAX(C15:AN15)</f>
        <v/>
      </c>
      <c r="E24" s="3" t="inlineStr"/>
    </row>
    <row r="25">
      <c r="B25" s="4" t="inlineStr">
        <is>
          <t>Bed-nights over the programme</t>
        </is>
      </c>
      <c r="C25" s="42">
        <f>ROUND(SUM(C10:AN10)*30.4,0)</f>
        <v/>
      </c>
      <c r="E25" s="3" t="inlineStr">
        <is>
          <t>Drives catering, utilities and the unit cost of the whole thing.</t>
        </is>
      </c>
    </row>
    <row r="26">
      <c r="B26" s="4" t="inlineStr">
        <is>
          <t>Average occupancy across the live period</t>
        </is>
      </c>
      <c r="C26" s="43">
        <f>IFERROR(AVERAGEIF(C10:AN10,"&gt;0")/$C$22,0)</f>
        <v/>
      </c>
      <c r="E26" s="3" t="inlineStr">
        <is>
          <t>Below about 70% the case for phasing the village gets strong.</t>
        </is>
      </c>
    </row>
    <row r="28">
      <c r="B28" s="39" t="inlineStr">
        <is>
          <t>BEDS BY COMPANY — WHO IS RECHARGED FOR WHAT</t>
        </is>
      </c>
      <c r="C28" s="40" t="n"/>
      <c r="D28" s="40" t="n"/>
      <c r="E28" s="40" t="n"/>
      <c r="F28" s="40" t="n"/>
      <c r="G28" s="40" t="n"/>
      <c r="H28" s="40" t="n"/>
    </row>
    <row r="29">
      <c r="A29" s="12" t="inlineStr"/>
      <c r="B29" s="12" t="inlineStr">
        <is>
          <t>Company</t>
        </is>
      </c>
      <c r="C29" s="12" t="inlineStr">
        <is>
          <t>Peak beds</t>
        </is>
      </c>
      <c r="D29" s="12" t="inlineStr">
        <is>
          <t>Bed-months</t>
        </is>
      </c>
      <c r="E29" s="12" t="inlineStr">
        <is>
          <t>Share of bed-months</t>
        </is>
      </c>
      <c r="AP29" s="3" t="inlineStr">
        <is>
          <t>Helper — resident rooms by company by month (hide these columns)</t>
        </is>
      </c>
    </row>
    <row r="30">
      <c r="B30" s="4" t="inlineStr">
        <is>
          <t>Ashfell M&amp;E Ltd</t>
        </is>
      </c>
      <c r="C30" s="4">
        <f>MAX(AP30:CA30)</f>
        <v/>
      </c>
      <c r="D30" s="42">
        <f>ROUND(SUM(AP30:CA30),0)</f>
        <v/>
      </c>
      <c r="E30" s="44">
        <f>IFERROR(D30/SUM($D$30:$D$43),0)</f>
        <v/>
      </c>
      <c r="AP30" s="45">
        <f>SUMPRODUCT((Teams!$B$5:$B$26=$B30)*Workforce!C$7:C$28*Teams!$J$5:$J$26)*Assumptions!$C$17*Assumptions!$C$16</f>
        <v/>
      </c>
      <c r="AQ30" s="45">
        <f>SUMPRODUCT((Teams!$B$5:$B$26=$B30)*Workforce!D$7:D$28*Teams!$J$5:$J$26)*Assumptions!$C$17*Assumptions!$C$16</f>
        <v/>
      </c>
      <c r="AR30" s="45">
        <f>SUMPRODUCT((Teams!$B$5:$B$26=$B30)*Workforce!E$7:E$28*Teams!$J$5:$J$26)*Assumptions!$C$17*Assumptions!$C$16</f>
        <v/>
      </c>
      <c r="AS30" s="45">
        <f>SUMPRODUCT((Teams!$B$5:$B$26=$B30)*Workforce!F$7:F$28*Teams!$J$5:$J$26)*Assumptions!$C$17*Assumptions!$C$16</f>
        <v/>
      </c>
      <c r="AT30" s="45">
        <f>SUMPRODUCT((Teams!$B$5:$B$26=$B30)*Workforce!G$7:G$28*Teams!$J$5:$J$26)*Assumptions!$C$17*Assumptions!$C$16</f>
        <v/>
      </c>
      <c r="AU30" s="45">
        <f>SUMPRODUCT((Teams!$B$5:$B$26=$B30)*Workforce!H$7:H$28*Teams!$J$5:$J$26)*Assumptions!$C$17*Assumptions!$C$16</f>
        <v/>
      </c>
      <c r="AV30" s="45">
        <f>SUMPRODUCT((Teams!$B$5:$B$26=$B30)*Workforce!I$7:I$28*Teams!$J$5:$J$26)*Assumptions!$C$17*Assumptions!$C$16</f>
        <v/>
      </c>
      <c r="AW30" s="45">
        <f>SUMPRODUCT((Teams!$B$5:$B$26=$B30)*Workforce!J$7:J$28*Teams!$J$5:$J$26)*Assumptions!$C$17*Assumptions!$C$16</f>
        <v/>
      </c>
      <c r="AX30" s="45">
        <f>SUMPRODUCT((Teams!$B$5:$B$26=$B30)*Workforce!K$7:K$28*Teams!$J$5:$J$26)*Assumptions!$C$17*Assumptions!$C$16</f>
        <v/>
      </c>
      <c r="AY30" s="45">
        <f>SUMPRODUCT((Teams!$B$5:$B$26=$B30)*Workforce!L$7:L$28*Teams!$J$5:$J$26)*Assumptions!$C$17*Assumptions!$C$16</f>
        <v/>
      </c>
      <c r="AZ30" s="45">
        <f>SUMPRODUCT((Teams!$B$5:$B$26=$B30)*Workforce!M$7:M$28*Teams!$J$5:$J$26)*Assumptions!$C$17*Assumptions!$C$16</f>
        <v/>
      </c>
      <c r="BA30" s="45">
        <f>SUMPRODUCT((Teams!$B$5:$B$26=$B30)*Workforce!N$7:N$28*Teams!$J$5:$J$26)*Assumptions!$C$17*Assumptions!$C$16</f>
        <v/>
      </c>
      <c r="BB30" s="45">
        <f>SUMPRODUCT((Teams!$B$5:$B$26=$B30)*Workforce!O$7:O$28*Teams!$J$5:$J$26)*Assumptions!$C$17*Assumptions!$C$16</f>
        <v/>
      </c>
      <c r="BC30" s="45">
        <f>SUMPRODUCT((Teams!$B$5:$B$26=$B30)*Workforce!P$7:P$28*Teams!$J$5:$J$26)*Assumptions!$C$17*Assumptions!$C$16</f>
        <v/>
      </c>
      <c r="BD30" s="45">
        <f>SUMPRODUCT((Teams!$B$5:$B$26=$B30)*Workforce!Q$7:Q$28*Teams!$J$5:$J$26)*Assumptions!$C$17*Assumptions!$C$16</f>
        <v/>
      </c>
      <c r="BE30" s="45">
        <f>SUMPRODUCT((Teams!$B$5:$B$26=$B30)*Workforce!R$7:R$28*Teams!$J$5:$J$26)*Assumptions!$C$17*Assumptions!$C$16</f>
        <v/>
      </c>
      <c r="BF30" s="45">
        <f>SUMPRODUCT((Teams!$B$5:$B$26=$B30)*Workforce!S$7:S$28*Teams!$J$5:$J$26)*Assumptions!$C$17*Assumptions!$C$16</f>
        <v/>
      </c>
      <c r="BG30" s="45">
        <f>SUMPRODUCT((Teams!$B$5:$B$26=$B30)*Workforce!T$7:T$28*Teams!$J$5:$J$26)*Assumptions!$C$17*Assumptions!$C$16</f>
        <v/>
      </c>
      <c r="BH30" s="45">
        <f>SUMPRODUCT((Teams!$B$5:$B$26=$B30)*Workforce!U$7:U$28*Teams!$J$5:$J$26)*Assumptions!$C$17*Assumptions!$C$16</f>
        <v/>
      </c>
      <c r="BI30" s="45">
        <f>SUMPRODUCT((Teams!$B$5:$B$26=$B30)*Workforce!V$7:V$28*Teams!$J$5:$J$26)*Assumptions!$C$17*Assumptions!$C$16</f>
        <v/>
      </c>
      <c r="BJ30" s="45">
        <f>SUMPRODUCT((Teams!$B$5:$B$26=$B30)*Workforce!W$7:W$28*Teams!$J$5:$J$26)*Assumptions!$C$17*Assumptions!$C$16</f>
        <v/>
      </c>
      <c r="BK30" s="45">
        <f>SUMPRODUCT((Teams!$B$5:$B$26=$B30)*Workforce!X$7:X$28*Teams!$J$5:$J$26)*Assumptions!$C$17*Assumptions!$C$16</f>
        <v/>
      </c>
      <c r="BL30" s="45">
        <f>SUMPRODUCT((Teams!$B$5:$B$26=$B30)*Workforce!Y$7:Y$28*Teams!$J$5:$J$26)*Assumptions!$C$17*Assumptions!$C$16</f>
        <v/>
      </c>
      <c r="BM30" s="45">
        <f>SUMPRODUCT((Teams!$B$5:$B$26=$B30)*Workforce!Z$7:Z$28*Teams!$J$5:$J$26)*Assumptions!$C$17*Assumptions!$C$16</f>
        <v/>
      </c>
      <c r="BN30" s="45">
        <f>SUMPRODUCT((Teams!$B$5:$B$26=$B30)*Workforce!AA$7:AA$28*Teams!$J$5:$J$26)*Assumptions!$C$17*Assumptions!$C$16</f>
        <v/>
      </c>
      <c r="BO30" s="45">
        <f>SUMPRODUCT((Teams!$B$5:$B$26=$B30)*Workforce!AB$7:AB$28*Teams!$J$5:$J$26)*Assumptions!$C$17*Assumptions!$C$16</f>
        <v/>
      </c>
      <c r="BP30" s="45">
        <f>SUMPRODUCT((Teams!$B$5:$B$26=$B30)*Workforce!AC$7:AC$28*Teams!$J$5:$J$26)*Assumptions!$C$17*Assumptions!$C$16</f>
        <v/>
      </c>
      <c r="BQ30" s="45">
        <f>SUMPRODUCT((Teams!$B$5:$B$26=$B30)*Workforce!AD$7:AD$28*Teams!$J$5:$J$26)*Assumptions!$C$17*Assumptions!$C$16</f>
        <v/>
      </c>
      <c r="BR30" s="45">
        <f>SUMPRODUCT((Teams!$B$5:$B$26=$B30)*Workforce!AE$7:AE$28*Teams!$J$5:$J$26)*Assumptions!$C$17*Assumptions!$C$16</f>
        <v/>
      </c>
      <c r="BS30" s="45">
        <f>SUMPRODUCT((Teams!$B$5:$B$26=$B30)*Workforce!AF$7:AF$28*Teams!$J$5:$J$26)*Assumptions!$C$17*Assumptions!$C$16</f>
        <v/>
      </c>
      <c r="BT30" s="45">
        <f>SUMPRODUCT((Teams!$B$5:$B$26=$B30)*Workforce!AG$7:AG$28*Teams!$J$5:$J$26)*Assumptions!$C$17*Assumptions!$C$16</f>
        <v/>
      </c>
      <c r="BU30" s="45">
        <f>SUMPRODUCT((Teams!$B$5:$B$26=$B30)*Workforce!AH$7:AH$28*Teams!$J$5:$J$26)*Assumptions!$C$17*Assumptions!$C$16</f>
        <v/>
      </c>
      <c r="BV30" s="45">
        <f>SUMPRODUCT((Teams!$B$5:$B$26=$B30)*Workforce!AI$7:AI$28*Teams!$J$5:$J$26)*Assumptions!$C$17*Assumptions!$C$16</f>
        <v/>
      </c>
      <c r="BW30" s="45">
        <f>SUMPRODUCT((Teams!$B$5:$B$26=$B30)*Workforce!AJ$7:AJ$28*Teams!$J$5:$J$26)*Assumptions!$C$17*Assumptions!$C$16</f>
        <v/>
      </c>
      <c r="BX30" s="45">
        <f>SUMPRODUCT((Teams!$B$5:$B$26=$B30)*Workforce!AK$7:AK$28*Teams!$J$5:$J$26)*Assumptions!$C$17*Assumptions!$C$16</f>
        <v/>
      </c>
      <c r="BY30" s="45">
        <f>SUMPRODUCT((Teams!$B$5:$B$26=$B30)*Workforce!AL$7:AL$28*Teams!$J$5:$J$26)*Assumptions!$C$17*Assumptions!$C$16</f>
        <v/>
      </c>
      <c r="BZ30" s="45">
        <f>SUMPRODUCT((Teams!$B$5:$B$26=$B30)*Workforce!AM$7:AM$28*Teams!$J$5:$J$26)*Assumptions!$C$17*Assumptions!$C$16</f>
        <v/>
      </c>
      <c r="CA30" s="45">
        <f>SUMPRODUCT((Teams!$B$5:$B$26=$B30)*Workforce!AN$7:AN$28*Teams!$J$5:$J$26)*Assumptions!$C$17*Assumptions!$C$16</f>
        <v/>
      </c>
    </row>
    <row r="31">
      <c r="B31" s="4" t="inlineStr">
        <is>
          <t>Brightbay Facilities Management Ltd</t>
        </is>
      </c>
      <c r="C31" s="4">
        <f>MAX(AP31:CA31)</f>
        <v/>
      </c>
      <c r="D31" s="42">
        <f>ROUND(SUM(AP31:CA31),0)</f>
        <v/>
      </c>
      <c r="E31" s="44">
        <f>IFERROR(D31/SUM($D$30:$D$43),0)</f>
        <v/>
      </c>
      <c r="AP31" s="45">
        <f>SUMPRODUCT((Teams!$B$5:$B$26=$B31)*Workforce!C$7:C$28*Teams!$J$5:$J$26)*Assumptions!$C$17*Assumptions!$C$16</f>
        <v/>
      </c>
      <c r="AQ31" s="45">
        <f>SUMPRODUCT((Teams!$B$5:$B$26=$B31)*Workforce!D$7:D$28*Teams!$J$5:$J$26)*Assumptions!$C$17*Assumptions!$C$16</f>
        <v/>
      </c>
      <c r="AR31" s="45">
        <f>SUMPRODUCT((Teams!$B$5:$B$26=$B31)*Workforce!E$7:E$28*Teams!$J$5:$J$26)*Assumptions!$C$17*Assumptions!$C$16</f>
        <v/>
      </c>
      <c r="AS31" s="45">
        <f>SUMPRODUCT((Teams!$B$5:$B$26=$B31)*Workforce!F$7:F$28*Teams!$J$5:$J$26)*Assumptions!$C$17*Assumptions!$C$16</f>
        <v/>
      </c>
      <c r="AT31" s="45">
        <f>SUMPRODUCT((Teams!$B$5:$B$26=$B31)*Workforce!G$7:G$28*Teams!$J$5:$J$26)*Assumptions!$C$17*Assumptions!$C$16</f>
        <v/>
      </c>
      <c r="AU31" s="45">
        <f>SUMPRODUCT((Teams!$B$5:$B$26=$B31)*Workforce!H$7:H$28*Teams!$J$5:$J$26)*Assumptions!$C$17*Assumptions!$C$16</f>
        <v/>
      </c>
      <c r="AV31" s="45">
        <f>SUMPRODUCT((Teams!$B$5:$B$26=$B31)*Workforce!I$7:I$28*Teams!$J$5:$J$26)*Assumptions!$C$17*Assumptions!$C$16</f>
        <v/>
      </c>
      <c r="AW31" s="45">
        <f>SUMPRODUCT((Teams!$B$5:$B$26=$B31)*Workforce!J$7:J$28*Teams!$J$5:$J$26)*Assumptions!$C$17*Assumptions!$C$16</f>
        <v/>
      </c>
      <c r="AX31" s="45">
        <f>SUMPRODUCT((Teams!$B$5:$B$26=$B31)*Workforce!K$7:K$28*Teams!$J$5:$J$26)*Assumptions!$C$17*Assumptions!$C$16</f>
        <v/>
      </c>
      <c r="AY31" s="45">
        <f>SUMPRODUCT((Teams!$B$5:$B$26=$B31)*Workforce!L$7:L$28*Teams!$J$5:$J$26)*Assumptions!$C$17*Assumptions!$C$16</f>
        <v/>
      </c>
      <c r="AZ31" s="45">
        <f>SUMPRODUCT((Teams!$B$5:$B$26=$B31)*Workforce!M$7:M$28*Teams!$J$5:$J$26)*Assumptions!$C$17*Assumptions!$C$16</f>
        <v/>
      </c>
      <c r="BA31" s="45">
        <f>SUMPRODUCT((Teams!$B$5:$B$26=$B31)*Workforce!N$7:N$28*Teams!$J$5:$J$26)*Assumptions!$C$17*Assumptions!$C$16</f>
        <v/>
      </c>
      <c r="BB31" s="45">
        <f>SUMPRODUCT((Teams!$B$5:$B$26=$B31)*Workforce!O$7:O$28*Teams!$J$5:$J$26)*Assumptions!$C$17*Assumptions!$C$16</f>
        <v/>
      </c>
      <c r="BC31" s="45">
        <f>SUMPRODUCT((Teams!$B$5:$B$26=$B31)*Workforce!P$7:P$28*Teams!$J$5:$J$26)*Assumptions!$C$17*Assumptions!$C$16</f>
        <v/>
      </c>
      <c r="BD31" s="45">
        <f>SUMPRODUCT((Teams!$B$5:$B$26=$B31)*Workforce!Q$7:Q$28*Teams!$J$5:$J$26)*Assumptions!$C$17*Assumptions!$C$16</f>
        <v/>
      </c>
      <c r="BE31" s="45">
        <f>SUMPRODUCT((Teams!$B$5:$B$26=$B31)*Workforce!R$7:R$28*Teams!$J$5:$J$26)*Assumptions!$C$17*Assumptions!$C$16</f>
        <v/>
      </c>
      <c r="BF31" s="45">
        <f>SUMPRODUCT((Teams!$B$5:$B$26=$B31)*Workforce!S$7:S$28*Teams!$J$5:$J$26)*Assumptions!$C$17*Assumptions!$C$16</f>
        <v/>
      </c>
      <c r="BG31" s="45">
        <f>SUMPRODUCT((Teams!$B$5:$B$26=$B31)*Workforce!T$7:T$28*Teams!$J$5:$J$26)*Assumptions!$C$17*Assumptions!$C$16</f>
        <v/>
      </c>
      <c r="BH31" s="45">
        <f>SUMPRODUCT((Teams!$B$5:$B$26=$B31)*Workforce!U$7:U$28*Teams!$J$5:$J$26)*Assumptions!$C$17*Assumptions!$C$16</f>
        <v/>
      </c>
      <c r="BI31" s="45">
        <f>SUMPRODUCT((Teams!$B$5:$B$26=$B31)*Workforce!V$7:V$28*Teams!$J$5:$J$26)*Assumptions!$C$17*Assumptions!$C$16</f>
        <v/>
      </c>
      <c r="BJ31" s="45">
        <f>SUMPRODUCT((Teams!$B$5:$B$26=$B31)*Workforce!W$7:W$28*Teams!$J$5:$J$26)*Assumptions!$C$17*Assumptions!$C$16</f>
        <v/>
      </c>
      <c r="BK31" s="45">
        <f>SUMPRODUCT((Teams!$B$5:$B$26=$B31)*Workforce!X$7:X$28*Teams!$J$5:$J$26)*Assumptions!$C$17*Assumptions!$C$16</f>
        <v/>
      </c>
      <c r="BL31" s="45">
        <f>SUMPRODUCT((Teams!$B$5:$B$26=$B31)*Workforce!Y$7:Y$28*Teams!$J$5:$J$26)*Assumptions!$C$17*Assumptions!$C$16</f>
        <v/>
      </c>
      <c r="BM31" s="45">
        <f>SUMPRODUCT((Teams!$B$5:$B$26=$B31)*Workforce!Z$7:Z$28*Teams!$J$5:$J$26)*Assumptions!$C$17*Assumptions!$C$16</f>
        <v/>
      </c>
      <c r="BN31" s="45">
        <f>SUMPRODUCT((Teams!$B$5:$B$26=$B31)*Workforce!AA$7:AA$28*Teams!$J$5:$J$26)*Assumptions!$C$17*Assumptions!$C$16</f>
        <v/>
      </c>
      <c r="BO31" s="45">
        <f>SUMPRODUCT((Teams!$B$5:$B$26=$B31)*Workforce!AB$7:AB$28*Teams!$J$5:$J$26)*Assumptions!$C$17*Assumptions!$C$16</f>
        <v/>
      </c>
      <c r="BP31" s="45">
        <f>SUMPRODUCT((Teams!$B$5:$B$26=$B31)*Workforce!AC$7:AC$28*Teams!$J$5:$J$26)*Assumptions!$C$17*Assumptions!$C$16</f>
        <v/>
      </c>
      <c r="BQ31" s="45">
        <f>SUMPRODUCT((Teams!$B$5:$B$26=$B31)*Workforce!AD$7:AD$28*Teams!$J$5:$J$26)*Assumptions!$C$17*Assumptions!$C$16</f>
        <v/>
      </c>
      <c r="BR31" s="45">
        <f>SUMPRODUCT((Teams!$B$5:$B$26=$B31)*Workforce!AE$7:AE$28*Teams!$J$5:$J$26)*Assumptions!$C$17*Assumptions!$C$16</f>
        <v/>
      </c>
      <c r="BS31" s="45">
        <f>SUMPRODUCT((Teams!$B$5:$B$26=$B31)*Workforce!AF$7:AF$28*Teams!$J$5:$J$26)*Assumptions!$C$17*Assumptions!$C$16</f>
        <v/>
      </c>
      <c r="BT31" s="45">
        <f>SUMPRODUCT((Teams!$B$5:$B$26=$B31)*Workforce!AG$7:AG$28*Teams!$J$5:$J$26)*Assumptions!$C$17*Assumptions!$C$16</f>
        <v/>
      </c>
      <c r="BU31" s="45">
        <f>SUMPRODUCT((Teams!$B$5:$B$26=$B31)*Workforce!AH$7:AH$28*Teams!$J$5:$J$26)*Assumptions!$C$17*Assumptions!$C$16</f>
        <v/>
      </c>
      <c r="BV31" s="45">
        <f>SUMPRODUCT((Teams!$B$5:$B$26=$B31)*Workforce!AI$7:AI$28*Teams!$J$5:$J$26)*Assumptions!$C$17*Assumptions!$C$16</f>
        <v/>
      </c>
      <c r="BW31" s="45">
        <f>SUMPRODUCT((Teams!$B$5:$B$26=$B31)*Workforce!AJ$7:AJ$28*Teams!$J$5:$J$26)*Assumptions!$C$17*Assumptions!$C$16</f>
        <v/>
      </c>
      <c r="BX31" s="45">
        <f>SUMPRODUCT((Teams!$B$5:$B$26=$B31)*Workforce!AK$7:AK$28*Teams!$J$5:$J$26)*Assumptions!$C$17*Assumptions!$C$16</f>
        <v/>
      </c>
      <c r="BY31" s="45">
        <f>SUMPRODUCT((Teams!$B$5:$B$26=$B31)*Workforce!AL$7:AL$28*Teams!$J$5:$J$26)*Assumptions!$C$17*Assumptions!$C$16</f>
        <v/>
      </c>
      <c r="BZ31" s="45">
        <f>SUMPRODUCT((Teams!$B$5:$B$26=$B31)*Workforce!AM$7:AM$28*Teams!$J$5:$J$26)*Assumptions!$C$17*Assumptions!$C$16</f>
        <v/>
      </c>
      <c r="CA31" s="45">
        <f>SUMPRODUCT((Teams!$B$5:$B$26=$B31)*Workforce!AN$7:AN$28*Teams!$J$5:$J$26)*Assumptions!$C$17*Assumptions!$C$16</f>
        <v/>
      </c>
    </row>
    <row r="32">
      <c r="B32" s="4" t="inlineStr">
        <is>
          <t>Calderbrook Civils Ltd</t>
        </is>
      </c>
      <c r="C32" s="4">
        <f>MAX(AP32:CA32)</f>
        <v/>
      </c>
      <c r="D32" s="42">
        <f>ROUND(SUM(AP32:CA32),0)</f>
        <v/>
      </c>
      <c r="E32" s="44">
        <f>IFERROR(D32/SUM($D$30:$D$43),0)</f>
        <v/>
      </c>
      <c r="AP32" s="45">
        <f>SUMPRODUCT((Teams!$B$5:$B$26=$B32)*Workforce!C$7:C$28*Teams!$J$5:$J$26)*Assumptions!$C$17*Assumptions!$C$16</f>
        <v/>
      </c>
      <c r="AQ32" s="45">
        <f>SUMPRODUCT((Teams!$B$5:$B$26=$B32)*Workforce!D$7:D$28*Teams!$J$5:$J$26)*Assumptions!$C$17*Assumptions!$C$16</f>
        <v/>
      </c>
      <c r="AR32" s="45">
        <f>SUMPRODUCT((Teams!$B$5:$B$26=$B32)*Workforce!E$7:E$28*Teams!$J$5:$J$26)*Assumptions!$C$17*Assumptions!$C$16</f>
        <v/>
      </c>
      <c r="AS32" s="45">
        <f>SUMPRODUCT((Teams!$B$5:$B$26=$B32)*Workforce!F$7:F$28*Teams!$J$5:$J$26)*Assumptions!$C$17*Assumptions!$C$16</f>
        <v/>
      </c>
      <c r="AT32" s="45">
        <f>SUMPRODUCT((Teams!$B$5:$B$26=$B32)*Workforce!G$7:G$28*Teams!$J$5:$J$26)*Assumptions!$C$17*Assumptions!$C$16</f>
        <v/>
      </c>
      <c r="AU32" s="45">
        <f>SUMPRODUCT((Teams!$B$5:$B$26=$B32)*Workforce!H$7:H$28*Teams!$J$5:$J$26)*Assumptions!$C$17*Assumptions!$C$16</f>
        <v/>
      </c>
      <c r="AV32" s="45">
        <f>SUMPRODUCT((Teams!$B$5:$B$26=$B32)*Workforce!I$7:I$28*Teams!$J$5:$J$26)*Assumptions!$C$17*Assumptions!$C$16</f>
        <v/>
      </c>
      <c r="AW32" s="45">
        <f>SUMPRODUCT((Teams!$B$5:$B$26=$B32)*Workforce!J$7:J$28*Teams!$J$5:$J$26)*Assumptions!$C$17*Assumptions!$C$16</f>
        <v/>
      </c>
      <c r="AX32" s="45">
        <f>SUMPRODUCT((Teams!$B$5:$B$26=$B32)*Workforce!K$7:K$28*Teams!$J$5:$J$26)*Assumptions!$C$17*Assumptions!$C$16</f>
        <v/>
      </c>
      <c r="AY32" s="45">
        <f>SUMPRODUCT((Teams!$B$5:$B$26=$B32)*Workforce!L$7:L$28*Teams!$J$5:$J$26)*Assumptions!$C$17*Assumptions!$C$16</f>
        <v/>
      </c>
      <c r="AZ32" s="45">
        <f>SUMPRODUCT((Teams!$B$5:$B$26=$B32)*Workforce!M$7:M$28*Teams!$J$5:$J$26)*Assumptions!$C$17*Assumptions!$C$16</f>
        <v/>
      </c>
      <c r="BA32" s="45">
        <f>SUMPRODUCT((Teams!$B$5:$B$26=$B32)*Workforce!N$7:N$28*Teams!$J$5:$J$26)*Assumptions!$C$17*Assumptions!$C$16</f>
        <v/>
      </c>
      <c r="BB32" s="45">
        <f>SUMPRODUCT((Teams!$B$5:$B$26=$B32)*Workforce!O$7:O$28*Teams!$J$5:$J$26)*Assumptions!$C$17*Assumptions!$C$16</f>
        <v/>
      </c>
      <c r="BC32" s="45">
        <f>SUMPRODUCT((Teams!$B$5:$B$26=$B32)*Workforce!P$7:P$28*Teams!$J$5:$J$26)*Assumptions!$C$17*Assumptions!$C$16</f>
        <v/>
      </c>
      <c r="BD32" s="45">
        <f>SUMPRODUCT((Teams!$B$5:$B$26=$B32)*Workforce!Q$7:Q$28*Teams!$J$5:$J$26)*Assumptions!$C$17*Assumptions!$C$16</f>
        <v/>
      </c>
      <c r="BE32" s="45">
        <f>SUMPRODUCT((Teams!$B$5:$B$26=$B32)*Workforce!R$7:R$28*Teams!$J$5:$J$26)*Assumptions!$C$17*Assumptions!$C$16</f>
        <v/>
      </c>
      <c r="BF32" s="45">
        <f>SUMPRODUCT((Teams!$B$5:$B$26=$B32)*Workforce!S$7:S$28*Teams!$J$5:$J$26)*Assumptions!$C$17*Assumptions!$C$16</f>
        <v/>
      </c>
      <c r="BG32" s="45">
        <f>SUMPRODUCT((Teams!$B$5:$B$26=$B32)*Workforce!T$7:T$28*Teams!$J$5:$J$26)*Assumptions!$C$17*Assumptions!$C$16</f>
        <v/>
      </c>
      <c r="BH32" s="45">
        <f>SUMPRODUCT((Teams!$B$5:$B$26=$B32)*Workforce!U$7:U$28*Teams!$J$5:$J$26)*Assumptions!$C$17*Assumptions!$C$16</f>
        <v/>
      </c>
      <c r="BI32" s="45">
        <f>SUMPRODUCT((Teams!$B$5:$B$26=$B32)*Workforce!V$7:V$28*Teams!$J$5:$J$26)*Assumptions!$C$17*Assumptions!$C$16</f>
        <v/>
      </c>
      <c r="BJ32" s="45">
        <f>SUMPRODUCT((Teams!$B$5:$B$26=$B32)*Workforce!W$7:W$28*Teams!$J$5:$J$26)*Assumptions!$C$17*Assumptions!$C$16</f>
        <v/>
      </c>
      <c r="BK32" s="45">
        <f>SUMPRODUCT((Teams!$B$5:$B$26=$B32)*Workforce!X$7:X$28*Teams!$J$5:$J$26)*Assumptions!$C$17*Assumptions!$C$16</f>
        <v/>
      </c>
      <c r="BL32" s="45">
        <f>SUMPRODUCT((Teams!$B$5:$B$26=$B32)*Workforce!Y$7:Y$28*Teams!$J$5:$J$26)*Assumptions!$C$17*Assumptions!$C$16</f>
        <v/>
      </c>
      <c r="BM32" s="45">
        <f>SUMPRODUCT((Teams!$B$5:$B$26=$B32)*Workforce!Z$7:Z$28*Teams!$J$5:$J$26)*Assumptions!$C$17*Assumptions!$C$16</f>
        <v/>
      </c>
      <c r="BN32" s="45">
        <f>SUMPRODUCT((Teams!$B$5:$B$26=$B32)*Workforce!AA$7:AA$28*Teams!$J$5:$J$26)*Assumptions!$C$17*Assumptions!$C$16</f>
        <v/>
      </c>
      <c r="BO32" s="45">
        <f>SUMPRODUCT((Teams!$B$5:$B$26=$B32)*Workforce!AB$7:AB$28*Teams!$J$5:$J$26)*Assumptions!$C$17*Assumptions!$C$16</f>
        <v/>
      </c>
      <c r="BP32" s="45">
        <f>SUMPRODUCT((Teams!$B$5:$B$26=$B32)*Workforce!AC$7:AC$28*Teams!$J$5:$J$26)*Assumptions!$C$17*Assumptions!$C$16</f>
        <v/>
      </c>
      <c r="BQ32" s="45">
        <f>SUMPRODUCT((Teams!$B$5:$B$26=$B32)*Workforce!AD$7:AD$28*Teams!$J$5:$J$26)*Assumptions!$C$17*Assumptions!$C$16</f>
        <v/>
      </c>
      <c r="BR32" s="45">
        <f>SUMPRODUCT((Teams!$B$5:$B$26=$B32)*Workforce!AE$7:AE$28*Teams!$J$5:$J$26)*Assumptions!$C$17*Assumptions!$C$16</f>
        <v/>
      </c>
      <c r="BS32" s="45">
        <f>SUMPRODUCT((Teams!$B$5:$B$26=$B32)*Workforce!AF$7:AF$28*Teams!$J$5:$J$26)*Assumptions!$C$17*Assumptions!$C$16</f>
        <v/>
      </c>
      <c r="BT32" s="45">
        <f>SUMPRODUCT((Teams!$B$5:$B$26=$B32)*Workforce!AG$7:AG$28*Teams!$J$5:$J$26)*Assumptions!$C$17*Assumptions!$C$16</f>
        <v/>
      </c>
      <c r="BU32" s="45">
        <f>SUMPRODUCT((Teams!$B$5:$B$26=$B32)*Workforce!AH$7:AH$28*Teams!$J$5:$J$26)*Assumptions!$C$17*Assumptions!$C$16</f>
        <v/>
      </c>
      <c r="BV32" s="45">
        <f>SUMPRODUCT((Teams!$B$5:$B$26=$B32)*Workforce!AI$7:AI$28*Teams!$J$5:$J$26)*Assumptions!$C$17*Assumptions!$C$16</f>
        <v/>
      </c>
      <c r="BW32" s="45">
        <f>SUMPRODUCT((Teams!$B$5:$B$26=$B32)*Workforce!AJ$7:AJ$28*Teams!$J$5:$J$26)*Assumptions!$C$17*Assumptions!$C$16</f>
        <v/>
      </c>
      <c r="BX32" s="45">
        <f>SUMPRODUCT((Teams!$B$5:$B$26=$B32)*Workforce!AK$7:AK$28*Teams!$J$5:$J$26)*Assumptions!$C$17*Assumptions!$C$16</f>
        <v/>
      </c>
      <c r="BY32" s="45">
        <f>SUMPRODUCT((Teams!$B$5:$B$26=$B32)*Workforce!AL$7:AL$28*Teams!$J$5:$J$26)*Assumptions!$C$17*Assumptions!$C$16</f>
        <v/>
      </c>
      <c r="BZ32" s="45">
        <f>SUMPRODUCT((Teams!$B$5:$B$26=$B32)*Workforce!AM$7:AM$28*Teams!$J$5:$J$26)*Assumptions!$C$17*Assumptions!$C$16</f>
        <v/>
      </c>
      <c r="CA32" s="45">
        <f>SUMPRODUCT((Teams!$B$5:$B$26=$B32)*Workforce!AN$7:AN$28*Teams!$J$5:$J$26)*Assumptions!$C$17*Assumptions!$C$16</f>
        <v/>
      </c>
    </row>
    <row r="33">
      <c r="B33" s="4" t="inlineStr">
        <is>
          <t>Hollins Catering Ltd</t>
        </is>
      </c>
      <c r="C33" s="4">
        <f>MAX(AP33:CA33)</f>
        <v/>
      </c>
      <c r="D33" s="42">
        <f>ROUND(SUM(AP33:CA33),0)</f>
        <v/>
      </c>
      <c r="E33" s="44">
        <f>IFERROR(D33/SUM($D$30:$D$43),0)</f>
        <v/>
      </c>
      <c r="AP33" s="45">
        <f>SUMPRODUCT((Teams!$B$5:$B$26=$B33)*Workforce!C$7:C$28*Teams!$J$5:$J$26)*Assumptions!$C$17*Assumptions!$C$16</f>
        <v/>
      </c>
      <c r="AQ33" s="45">
        <f>SUMPRODUCT((Teams!$B$5:$B$26=$B33)*Workforce!D$7:D$28*Teams!$J$5:$J$26)*Assumptions!$C$17*Assumptions!$C$16</f>
        <v/>
      </c>
      <c r="AR33" s="45">
        <f>SUMPRODUCT((Teams!$B$5:$B$26=$B33)*Workforce!E$7:E$28*Teams!$J$5:$J$26)*Assumptions!$C$17*Assumptions!$C$16</f>
        <v/>
      </c>
      <c r="AS33" s="45">
        <f>SUMPRODUCT((Teams!$B$5:$B$26=$B33)*Workforce!F$7:F$28*Teams!$J$5:$J$26)*Assumptions!$C$17*Assumptions!$C$16</f>
        <v/>
      </c>
      <c r="AT33" s="45">
        <f>SUMPRODUCT((Teams!$B$5:$B$26=$B33)*Workforce!G$7:G$28*Teams!$J$5:$J$26)*Assumptions!$C$17*Assumptions!$C$16</f>
        <v/>
      </c>
      <c r="AU33" s="45">
        <f>SUMPRODUCT((Teams!$B$5:$B$26=$B33)*Workforce!H$7:H$28*Teams!$J$5:$J$26)*Assumptions!$C$17*Assumptions!$C$16</f>
        <v/>
      </c>
      <c r="AV33" s="45">
        <f>SUMPRODUCT((Teams!$B$5:$B$26=$B33)*Workforce!I$7:I$28*Teams!$J$5:$J$26)*Assumptions!$C$17*Assumptions!$C$16</f>
        <v/>
      </c>
      <c r="AW33" s="45">
        <f>SUMPRODUCT((Teams!$B$5:$B$26=$B33)*Workforce!J$7:J$28*Teams!$J$5:$J$26)*Assumptions!$C$17*Assumptions!$C$16</f>
        <v/>
      </c>
      <c r="AX33" s="45">
        <f>SUMPRODUCT((Teams!$B$5:$B$26=$B33)*Workforce!K$7:K$28*Teams!$J$5:$J$26)*Assumptions!$C$17*Assumptions!$C$16</f>
        <v/>
      </c>
      <c r="AY33" s="45">
        <f>SUMPRODUCT((Teams!$B$5:$B$26=$B33)*Workforce!L$7:L$28*Teams!$J$5:$J$26)*Assumptions!$C$17*Assumptions!$C$16</f>
        <v/>
      </c>
      <c r="AZ33" s="45">
        <f>SUMPRODUCT((Teams!$B$5:$B$26=$B33)*Workforce!M$7:M$28*Teams!$J$5:$J$26)*Assumptions!$C$17*Assumptions!$C$16</f>
        <v/>
      </c>
      <c r="BA33" s="45">
        <f>SUMPRODUCT((Teams!$B$5:$B$26=$B33)*Workforce!N$7:N$28*Teams!$J$5:$J$26)*Assumptions!$C$17*Assumptions!$C$16</f>
        <v/>
      </c>
      <c r="BB33" s="45">
        <f>SUMPRODUCT((Teams!$B$5:$B$26=$B33)*Workforce!O$7:O$28*Teams!$J$5:$J$26)*Assumptions!$C$17*Assumptions!$C$16</f>
        <v/>
      </c>
      <c r="BC33" s="45">
        <f>SUMPRODUCT((Teams!$B$5:$B$26=$B33)*Workforce!P$7:P$28*Teams!$J$5:$J$26)*Assumptions!$C$17*Assumptions!$C$16</f>
        <v/>
      </c>
      <c r="BD33" s="45">
        <f>SUMPRODUCT((Teams!$B$5:$B$26=$B33)*Workforce!Q$7:Q$28*Teams!$J$5:$J$26)*Assumptions!$C$17*Assumptions!$C$16</f>
        <v/>
      </c>
      <c r="BE33" s="45">
        <f>SUMPRODUCT((Teams!$B$5:$B$26=$B33)*Workforce!R$7:R$28*Teams!$J$5:$J$26)*Assumptions!$C$17*Assumptions!$C$16</f>
        <v/>
      </c>
      <c r="BF33" s="45">
        <f>SUMPRODUCT((Teams!$B$5:$B$26=$B33)*Workforce!S$7:S$28*Teams!$J$5:$J$26)*Assumptions!$C$17*Assumptions!$C$16</f>
        <v/>
      </c>
      <c r="BG33" s="45">
        <f>SUMPRODUCT((Teams!$B$5:$B$26=$B33)*Workforce!T$7:T$28*Teams!$J$5:$J$26)*Assumptions!$C$17*Assumptions!$C$16</f>
        <v/>
      </c>
      <c r="BH33" s="45">
        <f>SUMPRODUCT((Teams!$B$5:$B$26=$B33)*Workforce!U$7:U$28*Teams!$J$5:$J$26)*Assumptions!$C$17*Assumptions!$C$16</f>
        <v/>
      </c>
      <c r="BI33" s="45">
        <f>SUMPRODUCT((Teams!$B$5:$B$26=$B33)*Workforce!V$7:V$28*Teams!$J$5:$J$26)*Assumptions!$C$17*Assumptions!$C$16</f>
        <v/>
      </c>
      <c r="BJ33" s="45">
        <f>SUMPRODUCT((Teams!$B$5:$B$26=$B33)*Workforce!W$7:W$28*Teams!$J$5:$J$26)*Assumptions!$C$17*Assumptions!$C$16</f>
        <v/>
      </c>
      <c r="BK33" s="45">
        <f>SUMPRODUCT((Teams!$B$5:$B$26=$B33)*Workforce!X$7:X$28*Teams!$J$5:$J$26)*Assumptions!$C$17*Assumptions!$C$16</f>
        <v/>
      </c>
      <c r="BL33" s="45">
        <f>SUMPRODUCT((Teams!$B$5:$B$26=$B33)*Workforce!Y$7:Y$28*Teams!$J$5:$J$26)*Assumptions!$C$17*Assumptions!$C$16</f>
        <v/>
      </c>
      <c r="BM33" s="45">
        <f>SUMPRODUCT((Teams!$B$5:$B$26=$B33)*Workforce!Z$7:Z$28*Teams!$J$5:$J$26)*Assumptions!$C$17*Assumptions!$C$16</f>
        <v/>
      </c>
      <c r="BN33" s="45">
        <f>SUMPRODUCT((Teams!$B$5:$B$26=$B33)*Workforce!AA$7:AA$28*Teams!$J$5:$J$26)*Assumptions!$C$17*Assumptions!$C$16</f>
        <v/>
      </c>
      <c r="BO33" s="45">
        <f>SUMPRODUCT((Teams!$B$5:$B$26=$B33)*Workforce!AB$7:AB$28*Teams!$J$5:$J$26)*Assumptions!$C$17*Assumptions!$C$16</f>
        <v/>
      </c>
      <c r="BP33" s="45">
        <f>SUMPRODUCT((Teams!$B$5:$B$26=$B33)*Workforce!AC$7:AC$28*Teams!$J$5:$J$26)*Assumptions!$C$17*Assumptions!$C$16</f>
        <v/>
      </c>
      <c r="BQ33" s="45">
        <f>SUMPRODUCT((Teams!$B$5:$B$26=$B33)*Workforce!AD$7:AD$28*Teams!$J$5:$J$26)*Assumptions!$C$17*Assumptions!$C$16</f>
        <v/>
      </c>
      <c r="BR33" s="45">
        <f>SUMPRODUCT((Teams!$B$5:$B$26=$B33)*Workforce!AE$7:AE$28*Teams!$J$5:$J$26)*Assumptions!$C$17*Assumptions!$C$16</f>
        <v/>
      </c>
      <c r="BS33" s="45">
        <f>SUMPRODUCT((Teams!$B$5:$B$26=$B33)*Workforce!AF$7:AF$28*Teams!$J$5:$J$26)*Assumptions!$C$17*Assumptions!$C$16</f>
        <v/>
      </c>
      <c r="BT33" s="45">
        <f>SUMPRODUCT((Teams!$B$5:$B$26=$B33)*Workforce!AG$7:AG$28*Teams!$J$5:$J$26)*Assumptions!$C$17*Assumptions!$C$16</f>
        <v/>
      </c>
      <c r="BU33" s="45">
        <f>SUMPRODUCT((Teams!$B$5:$B$26=$B33)*Workforce!AH$7:AH$28*Teams!$J$5:$J$26)*Assumptions!$C$17*Assumptions!$C$16</f>
        <v/>
      </c>
      <c r="BV33" s="45">
        <f>SUMPRODUCT((Teams!$B$5:$B$26=$B33)*Workforce!AI$7:AI$28*Teams!$J$5:$J$26)*Assumptions!$C$17*Assumptions!$C$16</f>
        <v/>
      </c>
      <c r="BW33" s="45">
        <f>SUMPRODUCT((Teams!$B$5:$B$26=$B33)*Workforce!AJ$7:AJ$28*Teams!$J$5:$J$26)*Assumptions!$C$17*Assumptions!$C$16</f>
        <v/>
      </c>
      <c r="BX33" s="45">
        <f>SUMPRODUCT((Teams!$B$5:$B$26=$B33)*Workforce!AK$7:AK$28*Teams!$J$5:$J$26)*Assumptions!$C$17*Assumptions!$C$16</f>
        <v/>
      </c>
      <c r="BY33" s="45">
        <f>SUMPRODUCT((Teams!$B$5:$B$26=$B33)*Workforce!AL$7:AL$28*Teams!$J$5:$J$26)*Assumptions!$C$17*Assumptions!$C$16</f>
        <v/>
      </c>
      <c r="BZ33" s="45">
        <f>SUMPRODUCT((Teams!$B$5:$B$26=$B33)*Workforce!AM$7:AM$28*Teams!$J$5:$J$26)*Assumptions!$C$17*Assumptions!$C$16</f>
        <v/>
      </c>
      <c r="CA33" s="45">
        <f>SUMPRODUCT((Teams!$B$5:$B$26=$B33)*Workforce!AN$7:AN$28*Teams!$J$5:$J$26)*Assumptions!$C$17*Assumptions!$C$16</f>
        <v/>
      </c>
    </row>
    <row r="34">
      <c r="B34" s="4" t="inlineStr">
        <is>
          <t>Ironvale Welding Ltd</t>
        </is>
      </c>
      <c r="C34" s="4">
        <f>MAX(AP34:CA34)</f>
        <v/>
      </c>
      <c r="D34" s="42">
        <f>ROUND(SUM(AP34:CA34),0)</f>
        <v/>
      </c>
      <c r="E34" s="44">
        <f>IFERROR(D34/SUM($D$30:$D$43),0)</f>
        <v/>
      </c>
      <c r="AP34" s="45">
        <f>SUMPRODUCT((Teams!$B$5:$B$26=$B34)*Workforce!C$7:C$28*Teams!$J$5:$J$26)*Assumptions!$C$17*Assumptions!$C$16</f>
        <v/>
      </c>
      <c r="AQ34" s="45">
        <f>SUMPRODUCT((Teams!$B$5:$B$26=$B34)*Workforce!D$7:D$28*Teams!$J$5:$J$26)*Assumptions!$C$17*Assumptions!$C$16</f>
        <v/>
      </c>
      <c r="AR34" s="45">
        <f>SUMPRODUCT((Teams!$B$5:$B$26=$B34)*Workforce!E$7:E$28*Teams!$J$5:$J$26)*Assumptions!$C$17*Assumptions!$C$16</f>
        <v/>
      </c>
      <c r="AS34" s="45">
        <f>SUMPRODUCT((Teams!$B$5:$B$26=$B34)*Workforce!F$7:F$28*Teams!$J$5:$J$26)*Assumptions!$C$17*Assumptions!$C$16</f>
        <v/>
      </c>
      <c r="AT34" s="45">
        <f>SUMPRODUCT((Teams!$B$5:$B$26=$B34)*Workforce!G$7:G$28*Teams!$J$5:$J$26)*Assumptions!$C$17*Assumptions!$C$16</f>
        <v/>
      </c>
      <c r="AU34" s="45">
        <f>SUMPRODUCT((Teams!$B$5:$B$26=$B34)*Workforce!H$7:H$28*Teams!$J$5:$J$26)*Assumptions!$C$17*Assumptions!$C$16</f>
        <v/>
      </c>
      <c r="AV34" s="45">
        <f>SUMPRODUCT((Teams!$B$5:$B$26=$B34)*Workforce!I$7:I$28*Teams!$J$5:$J$26)*Assumptions!$C$17*Assumptions!$C$16</f>
        <v/>
      </c>
      <c r="AW34" s="45">
        <f>SUMPRODUCT((Teams!$B$5:$B$26=$B34)*Workforce!J$7:J$28*Teams!$J$5:$J$26)*Assumptions!$C$17*Assumptions!$C$16</f>
        <v/>
      </c>
      <c r="AX34" s="45">
        <f>SUMPRODUCT((Teams!$B$5:$B$26=$B34)*Workforce!K$7:K$28*Teams!$J$5:$J$26)*Assumptions!$C$17*Assumptions!$C$16</f>
        <v/>
      </c>
      <c r="AY34" s="45">
        <f>SUMPRODUCT((Teams!$B$5:$B$26=$B34)*Workforce!L$7:L$28*Teams!$J$5:$J$26)*Assumptions!$C$17*Assumptions!$C$16</f>
        <v/>
      </c>
      <c r="AZ34" s="45">
        <f>SUMPRODUCT((Teams!$B$5:$B$26=$B34)*Workforce!M$7:M$28*Teams!$J$5:$J$26)*Assumptions!$C$17*Assumptions!$C$16</f>
        <v/>
      </c>
      <c r="BA34" s="45">
        <f>SUMPRODUCT((Teams!$B$5:$B$26=$B34)*Workforce!N$7:N$28*Teams!$J$5:$J$26)*Assumptions!$C$17*Assumptions!$C$16</f>
        <v/>
      </c>
      <c r="BB34" s="45">
        <f>SUMPRODUCT((Teams!$B$5:$B$26=$B34)*Workforce!O$7:O$28*Teams!$J$5:$J$26)*Assumptions!$C$17*Assumptions!$C$16</f>
        <v/>
      </c>
      <c r="BC34" s="45">
        <f>SUMPRODUCT((Teams!$B$5:$B$26=$B34)*Workforce!P$7:P$28*Teams!$J$5:$J$26)*Assumptions!$C$17*Assumptions!$C$16</f>
        <v/>
      </c>
      <c r="BD34" s="45">
        <f>SUMPRODUCT((Teams!$B$5:$B$26=$B34)*Workforce!Q$7:Q$28*Teams!$J$5:$J$26)*Assumptions!$C$17*Assumptions!$C$16</f>
        <v/>
      </c>
      <c r="BE34" s="45">
        <f>SUMPRODUCT((Teams!$B$5:$B$26=$B34)*Workforce!R$7:R$28*Teams!$J$5:$J$26)*Assumptions!$C$17*Assumptions!$C$16</f>
        <v/>
      </c>
      <c r="BF34" s="45">
        <f>SUMPRODUCT((Teams!$B$5:$B$26=$B34)*Workforce!S$7:S$28*Teams!$J$5:$J$26)*Assumptions!$C$17*Assumptions!$C$16</f>
        <v/>
      </c>
      <c r="BG34" s="45">
        <f>SUMPRODUCT((Teams!$B$5:$B$26=$B34)*Workforce!T$7:T$28*Teams!$J$5:$J$26)*Assumptions!$C$17*Assumptions!$C$16</f>
        <v/>
      </c>
      <c r="BH34" s="45">
        <f>SUMPRODUCT((Teams!$B$5:$B$26=$B34)*Workforce!U$7:U$28*Teams!$J$5:$J$26)*Assumptions!$C$17*Assumptions!$C$16</f>
        <v/>
      </c>
      <c r="BI34" s="45">
        <f>SUMPRODUCT((Teams!$B$5:$B$26=$B34)*Workforce!V$7:V$28*Teams!$J$5:$J$26)*Assumptions!$C$17*Assumptions!$C$16</f>
        <v/>
      </c>
      <c r="BJ34" s="45">
        <f>SUMPRODUCT((Teams!$B$5:$B$26=$B34)*Workforce!W$7:W$28*Teams!$J$5:$J$26)*Assumptions!$C$17*Assumptions!$C$16</f>
        <v/>
      </c>
      <c r="BK34" s="45">
        <f>SUMPRODUCT((Teams!$B$5:$B$26=$B34)*Workforce!X$7:X$28*Teams!$J$5:$J$26)*Assumptions!$C$17*Assumptions!$C$16</f>
        <v/>
      </c>
      <c r="BL34" s="45">
        <f>SUMPRODUCT((Teams!$B$5:$B$26=$B34)*Workforce!Y$7:Y$28*Teams!$J$5:$J$26)*Assumptions!$C$17*Assumptions!$C$16</f>
        <v/>
      </c>
      <c r="BM34" s="45">
        <f>SUMPRODUCT((Teams!$B$5:$B$26=$B34)*Workforce!Z$7:Z$28*Teams!$J$5:$J$26)*Assumptions!$C$17*Assumptions!$C$16</f>
        <v/>
      </c>
      <c r="BN34" s="45">
        <f>SUMPRODUCT((Teams!$B$5:$B$26=$B34)*Workforce!AA$7:AA$28*Teams!$J$5:$J$26)*Assumptions!$C$17*Assumptions!$C$16</f>
        <v/>
      </c>
      <c r="BO34" s="45">
        <f>SUMPRODUCT((Teams!$B$5:$B$26=$B34)*Workforce!AB$7:AB$28*Teams!$J$5:$J$26)*Assumptions!$C$17*Assumptions!$C$16</f>
        <v/>
      </c>
      <c r="BP34" s="45">
        <f>SUMPRODUCT((Teams!$B$5:$B$26=$B34)*Workforce!AC$7:AC$28*Teams!$J$5:$J$26)*Assumptions!$C$17*Assumptions!$C$16</f>
        <v/>
      </c>
      <c r="BQ34" s="45">
        <f>SUMPRODUCT((Teams!$B$5:$B$26=$B34)*Workforce!AD$7:AD$28*Teams!$J$5:$J$26)*Assumptions!$C$17*Assumptions!$C$16</f>
        <v/>
      </c>
      <c r="BR34" s="45">
        <f>SUMPRODUCT((Teams!$B$5:$B$26=$B34)*Workforce!AE$7:AE$28*Teams!$J$5:$J$26)*Assumptions!$C$17*Assumptions!$C$16</f>
        <v/>
      </c>
      <c r="BS34" s="45">
        <f>SUMPRODUCT((Teams!$B$5:$B$26=$B34)*Workforce!AF$7:AF$28*Teams!$J$5:$J$26)*Assumptions!$C$17*Assumptions!$C$16</f>
        <v/>
      </c>
      <c r="BT34" s="45">
        <f>SUMPRODUCT((Teams!$B$5:$B$26=$B34)*Workforce!AG$7:AG$28*Teams!$J$5:$J$26)*Assumptions!$C$17*Assumptions!$C$16</f>
        <v/>
      </c>
      <c r="BU34" s="45">
        <f>SUMPRODUCT((Teams!$B$5:$B$26=$B34)*Workforce!AH$7:AH$28*Teams!$J$5:$J$26)*Assumptions!$C$17*Assumptions!$C$16</f>
        <v/>
      </c>
      <c r="BV34" s="45">
        <f>SUMPRODUCT((Teams!$B$5:$B$26=$B34)*Workforce!AI$7:AI$28*Teams!$J$5:$J$26)*Assumptions!$C$17*Assumptions!$C$16</f>
        <v/>
      </c>
      <c r="BW34" s="45">
        <f>SUMPRODUCT((Teams!$B$5:$B$26=$B34)*Workforce!AJ$7:AJ$28*Teams!$J$5:$J$26)*Assumptions!$C$17*Assumptions!$C$16</f>
        <v/>
      </c>
      <c r="BX34" s="45">
        <f>SUMPRODUCT((Teams!$B$5:$B$26=$B34)*Workforce!AK$7:AK$28*Teams!$J$5:$J$26)*Assumptions!$C$17*Assumptions!$C$16</f>
        <v/>
      </c>
      <c r="BY34" s="45">
        <f>SUMPRODUCT((Teams!$B$5:$B$26=$B34)*Workforce!AL$7:AL$28*Teams!$J$5:$J$26)*Assumptions!$C$17*Assumptions!$C$16</f>
        <v/>
      </c>
      <c r="BZ34" s="45">
        <f>SUMPRODUCT((Teams!$B$5:$B$26=$B34)*Workforce!AM$7:AM$28*Teams!$J$5:$J$26)*Assumptions!$C$17*Assumptions!$C$16</f>
        <v/>
      </c>
      <c r="CA34" s="45">
        <f>SUMPRODUCT((Teams!$B$5:$B$26=$B34)*Workforce!AN$7:AN$28*Teams!$J$5:$J$26)*Assumptions!$C$17*Assumptions!$C$16</f>
        <v/>
      </c>
    </row>
    <row r="35">
      <c r="B35" s="4" t="inlineStr">
        <is>
          <t>Kestrel Security Ltd</t>
        </is>
      </c>
      <c r="C35" s="4">
        <f>MAX(AP35:CA35)</f>
        <v/>
      </c>
      <c r="D35" s="42">
        <f>ROUND(SUM(AP35:CA35),0)</f>
        <v/>
      </c>
      <c r="E35" s="44">
        <f>IFERROR(D35/SUM($D$30:$D$43),0)</f>
        <v/>
      </c>
      <c r="AP35" s="45">
        <f>SUMPRODUCT((Teams!$B$5:$B$26=$B35)*Workforce!C$7:C$28*Teams!$J$5:$J$26)*Assumptions!$C$17*Assumptions!$C$16</f>
        <v/>
      </c>
      <c r="AQ35" s="45">
        <f>SUMPRODUCT((Teams!$B$5:$B$26=$B35)*Workforce!D$7:D$28*Teams!$J$5:$J$26)*Assumptions!$C$17*Assumptions!$C$16</f>
        <v/>
      </c>
      <c r="AR35" s="45">
        <f>SUMPRODUCT((Teams!$B$5:$B$26=$B35)*Workforce!E$7:E$28*Teams!$J$5:$J$26)*Assumptions!$C$17*Assumptions!$C$16</f>
        <v/>
      </c>
      <c r="AS35" s="45">
        <f>SUMPRODUCT((Teams!$B$5:$B$26=$B35)*Workforce!F$7:F$28*Teams!$J$5:$J$26)*Assumptions!$C$17*Assumptions!$C$16</f>
        <v/>
      </c>
      <c r="AT35" s="45">
        <f>SUMPRODUCT((Teams!$B$5:$B$26=$B35)*Workforce!G$7:G$28*Teams!$J$5:$J$26)*Assumptions!$C$17*Assumptions!$C$16</f>
        <v/>
      </c>
      <c r="AU35" s="45">
        <f>SUMPRODUCT((Teams!$B$5:$B$26=$B35)*Workforce!H$7:H$28*Teams!$J$5:$J$26)*Assumptions!$C$17*Assumptions!$C$16</f>
        <v/>
      </c>
      <c r="AV35" s="45">
        <f>SUMPRODUCT((Teams!$B$5:$B$26=$B35)*Workforce!I$7:I$28*Teams!$J$5:$J$26)*Assumptions!$C$17*Assumptions!$C$16</f>
        <v/>
      </c>
      <c r="AW35" s="45">
        <f>SUMPRODUCT((Teams!$B$5:$B$26=$B35)*Workforce!J$7:J$28*Teams!$J$5:$J$26)*Assumptions!$C$17*Assumptions!$C$16</f>
        <v/>
      </c>
      <c r="AX35" s="45">
        <f>SUMPRODUCT((Teams!$B$5:$B$26=$B35)*Workforce!K$7:K$28*Teams!$J$5:$J$26)*Assumptions!$C$17*Assumptions!$C$16</f>
        <v/>
      </c>
      <c r="AY35" s="45">
        <f>SUMPRODUCT((Teams!$B$5:$B$26=$B35)*Workforce!L$7:L$28*Teams!$J$5:$J$26)*Assumptions!$C$17*Assumptions!$C$16</f>
        <v/>
      </c>
      <c r="AZ35" s="45">
        <f>SUMPRODUCT((Teams!$B$5:$B$26=$B35)*Workforce!M$7:M$28*Teams!$J$5:$J$26)*Assumptions!$C$17*Assumptions!$C$16</f>
        <v/>
      </c>
      <c r="BA35" s="45">
        <f>SUMPRODUCT((Teams!$B$5:$B$26=$B35)*Workforce!N$7:N$28*Teams!$J$5:$J$26)*Assumptions!$C$17*Assumptions!$C$16</f>
        <v/>
      </c>
      <c r="BB35" s="45">
        <f>SUMPRODUCT((Teams!$B$5:$B$26=$B35)*Workforce!O$7:O$28*Teams!$J$5:$J$26)*Assumptions!$C$17*Assumptions!$C$16</f>
        <v/>
      </c>
      <c r="BC35" s="45">
        <f>SUMPRODUCT((Teams!$B$5:$B$26=$B35)*Workforce!P$7:P$28*Teams!$J$5:$J$26)*Assumptions!$C$17*Assumptions!$C$16</f>
        <v/>
      </c>
      <c r="BD35" s="45">
        <f>SUMPRODUCT((Teams!$B$5:$B$26=$B35)*Workforce!Q$7:Q$28*Teams!$J$5:$J$26)*Assumptions!$C$17*Assumptions!$C$16</f>
        <v/>
      </c>
      <c r="BE35" s="45">
        <f>SUMPRODUCT((Teams!$B$5:$B$26=$B35)*Workforce!R$7:R$28*Teams!$J$5:$J$26)*Assumptions!$C$17*Assumptions!$C$16</f>
        <v/>
      </c>
      <c r="BF35" s="45">
        <f>SUMPRODUCT((Teams!$B$5:$B$26=$B35)*Workforce!S$7:S$28*Teams!$J$5:$J$26)*Assumptions!$C$17*Assumptions!$C$16</f>
        <v/>
      </c>
      <c r="BG35" s="45">
        <f>SUMPRODUCT((Teams!$B$5:$B$26=$B35)*Workforce!T$7:T$28*Teams!$J$5:$J$26)*Assumptions!$C$17*Assumptions!$C$16</f>
        <v/>
      </c>
      <c r="BH35" s="45">
        <f>SUMPRODUCT((Teams!$B$5:$B$26=$B35)*Workforce!U$7:U$28*Teams!$J$5:$J$26)*Assumptions!$C$17*Assumptions!$C$16</f>
        <v/>
      </c>
      <c r="BI35" s="45">
        <f>SUMPRODUCT((Teams!$B$5:$B$26=$B35)*Workforce!V$7:V$28*Teams!$J$5:$J$26)*Assumptions!$C$17*Assumptions!$C$16</f>
        <v/>
      </c>
      <c r="BJ35" s="45">
        <f>SUMPRODUCT((Teams!$B$5:$B$26=$B35)*Workforce!W$7:W$28*Teams!$J$5:$J$26)*Assumptions!$C$17*Assumptions!$C$16</f>
        <v/>
      </c>
      <c r="BK35" s="45">
        <f>SUMPRODUCT((Teams!$B$5:$B$26=$B35)*Workforce!X$7:X$28*Teams!$J$5:$J$26)*Assumptions!$C$17*Assumptions!$C$16</f>
        <v/>
      </c>
      <c r="BL35" s="45">
        <f>SUMPRODUCT((Teams!$B$5:$B$26=$B35)*Workforce!Y$7:Y$28*Teams!$J$5:$J$26)*Assumptions!$C$17*Assumptions!$C$16</f>
        <v/>
      </c>
      <c r="BM35" s="45">
        <f>SUMPRODUCT((Teams!$B$5:$B$26=$B35)*Workforce!Z$7:Z$28*Teams!$J$5:$J$26)*Assumptions!$C$17*Assumptions!$C$16</f>
        <v/>
      </c>
      <c r="BN35" s="45">
        <f>SUMPRODUCT((Teams!$B$5:$B$26=$B35)*Workforce!AA$7:AA$28*Teams!$J$5:$J$26)*Assumptions!$C$17*Assumptions!$C$16</f>
        <v/>
      </c>
      <c r="BO35" s="45">
        <f>SUMPRODUCT((Teams!$B$5:$B$26=$B35)*Workforce!AB$7:AB$28*Teams!$J$5:$J$26)*Assumptions!$C$17*Assumptions!$C$16</f>
        <v/>
      </c>
      <c r="BP35" s="45">
        <f>SUMPRODUCT((Teams!$B$5:$B$26=$B35)*Workforce!AC$7:AC$28*Teams!$J$5:$J$26)*Assumptions!$C$17*Assumptions!$C$16</f>
        <v/>
      </c>
      <c r="BQ35" s="45">
        <f>SUMPRODUCT((Teams!$B$5:$B$26=$B35)*Workforce!AD$7:AD$28*Teams!$J$5:$J$26)*Assumptions!$C$17*Assumptions!$C$16</f>
        <v/>
      </c>
      <c r="BR35" s="45">
        <f>SUMPRODUCT((Teams!$B$5:$B$26=$B35)*Workforce!AE$7:AE$28*Teams!$J$5:$J$26)*Assumptions!$C$17*Assumptions!$C$16</f>
        <v/>
      </c>
      <c r="BS35" s="45">
        <f>SUMPRODUCT((Teams!$B$5:$B$26=$B35)*Workforce!AF$7:AF$28*Teams!$J$5:$J$26)*Assumptions!$C$17*Assumptions!$C$16</f>
        <v/>
      </c>
      <c r="BT35" s="45">
        <f>SUMPRODUCT((Teams!$B$5:$B$26=$B35)*Workforce!AG$7:AG$28*Teams!$J$5:$J$26)*Assumptions!$C$17*Assumptions!$C$16</f>
        <v/>
      </c>
      <c r="BU35" s="45">
        <f>SUMPRODUCT((Teams!$B$5:$B$26=$B35)*Workforce!AH$7:AH$28*Teams!$J$5:$J$26)*Assumptions!$C$17*Assumptions!$C$16</f>
        <v/>
      </c>
      <c r="BV35" s="45">
        <f>SUMPRODUCT((Teams!$B$5:$B$26=$B35)*Workforce!AI$7:AI$28*Teams!$J$5:$J$26)*Assumptions!$C$17*Assumptions!$C$16</f>
        <v/>
      </c>
      <c r="BW35" s="45">
        <f>SUMPRODUCT((Teams!$B$5:$B$26=$B35)*Workforce!AJ$7:AJ$28*Teams!$J$5:$J$26)*Assumptions!$C$17*Assumptions!$C$16</f>
        <v/>
      </c>
      <c r="BX35" s="45">
        <f>SUMPRODUCT((Teams!$B$5:$B$26=$B35)*Workforce!AK$7:AK$28*Teams!$J$5:$J$26)*Assumptions!$C$17*Assumptions!$C$16</f>
        <v/>
      </c>
      <c r="BY35" s="45">
        <f>SUMPRODUCT((Teams!$B$5:$B$26=$B35)*Workforce!AL$7:AL$28*Teams!$J$5:$J$26)*Assumptions!$C$17*Assumptions!$C$16</f>
        <v/>
      </c>
      <c r="BZ35" s="45">
        <f>SUMPRODUCT((Teams!$B$5:$B$26=$B35)*Workforce!AM$7:AM$28*Teams!$J$5:$J$26)*Assumptions!$C$17*Assumptions!$C$16</f>
        <v/>
      </c>
      <c r="CA35" s="45">
        <f>SUMPRODUCT((Teams!$B$5:$B$26=$B35)*Workforce!AN$7:AN$28*Teams!$J$5:$J$26)*Assumptions!$C$17*Assumptions!$C$16</f>
        <v/>
      </c>
    </row>
    <row r="36">
      <c r="B36" s="4" t="inlineStr">
        <is>
          <t>Ledwyn Scaffolding Ltd</t>
        </is>
      </c>
      <c r="C36" s="4">
        <f>MAX(AP36:CA36)</f>
        <v/>
      </c>
      <c r="D36" s="42">
        <f>ROUND(SUM(AP36:CA36),0)</f>
        <v/>
      </c>
      <c r="E36" s="44">
        <f>IFERROR(D36/SUM($D$30:$D$43),0)</f>
        <v/>
      </c>
      <c r="AP36" s="45">
        <f>SUMPRODUCT((Teams!$B$5:$B$26=$B36)*Workforce!C$7:C$28*Teams!$J$5:$J$26)*Assumptions!$C$17*Assumptions!$C$16</f>
        <v/>
      </c>
      <c r="AQ36" s="45">
        <f>SUMPRODUCT((Teams!$B$5:$B$26=$B36)*Workforce!D$7:D$28*Teams!$J$5:$J$26)*Assumptions!$C$17*Assumptions!$C$16</f>
        <v/>
      </c>
      <c r="AR36" s="45">
        <f>SUMPRODUCT((Teams!$B$5:$B$26=$B36)*Workforce!E$7:E$28*Teams!$J$5:$J$26)*Assumptions!$C$17*Assumptions!$C$16</f>
        <v/>
      </c>
      <c r="AS36" s="45">
        <f>SUMPRODUCT((Teams!$B$5:$B$26=$B36)*Workforce!F$7:F$28*Teams!$J$5:$J$26)*Assumptions!$C$17*Assumptions!$C$16</f>
        <v/>
      </c>
      <c r="AT36" s="45">
        <f>SUMPRODUCT((Teams!$B$5:$B$26=$B36)*Workforce!G$7:G$28*Teams!$J$5:$J$26)*Assumptions!$C$17*Assumptions!$C$16</f>
        <v/>
      </c>
      <c r="AU36" s="45">
        <f>SUMPRODUCT((Teams!$B$5:$B$26=$B36)*Workforce!H$7:H$28*Teams!$J$5:$J$26)*Assumptions!$C$17*Assumptions!$C$16</f>
        <v/>
      </c>
      <c r="AV36" s="45">
        <f>SUMPRODUCT((Teams!$B$5:$B$26=$B36)*Workforce!I$7:I$28*Teams!$J$5:$J$26)*Assumptions!$C$17*Assumptions!$C$16</f>
        <v/>
      </c>
      <c r="AW36" s="45">
        <f>SUMPRODUCT((Teams!$B$5:$B$26=$B36)*Workforce!J$7:J$28*Teams!$J$5:$J$26)*Assumptions!$C$17*Assumptions!$C$16</f>
        <v/>
      </c>
      <c r="AX36" s="45">
        <f>SUMPRODUCT((Teams!$B$5:$B$26=$B36)*Workforce!K$7:K$28*Teams!$J$5:$J$26)*Assumptions!$C$17*Assumptions!$C$16</f>
        <v/>
      </c>
      <c r="AY36" s="45">
        <f>SUMPRODUCT((Teams!$B$5:$B$26=$B36)*Workforce!L$7:L$28*Teams!$J$5:$J$26)*Assumptions!$C$17*Assumptions!$C$16</f>
        <v/>
      </c>
      <c r="AZ36" s="45">
        <f>SUMPRODUCT((Teams!$B$5:$B$26=$B36)*Workforce!M$7:M$28*Teams!$J$5:$J$26)*Assumptions!$C$17*Assumptions!$C$16</f>
        <v/>
      </c>
      <c r="BA36" s="45">
        <f>SUMPRODUCT((Teams!$B$5:$B$26=$B36)*Workforce!N$7:N$28*Teams!$J$5:$J$26)*Assumptions!$C$17*Assumptions!$C$16</f>
        <v/>
      </c>
      <c r="BB36" s="45">
        <f>SUMPRODUCT((Teams!$B$5:$B$26=$B36)*Workforce!O$7:O$28*Teams!$J$5:$J$26)*Assumptions!$C$17*Assumptions!$C$16</f>
        <v/>
      </c>
      <c r="BC36" s="45">
        <f>SUMPRODUCT((Teams!$B$5:$B$26=$B36)*Workforce!P$7:P$28*Teams!$J$5:$J$26)*Assumptions!$C$17*Assumptions!$C$16</f>
        <v/>
      </c>
      <c r="BD36" s="45">
        <f>SUMPRODUCT((Teams!$B$5:$B$26=$B36)*Workforce!Q$7:Q$28*Teams!$J$5:$J$26)*Assumptions!$C$17*Assumptions!$C$16</f>
        <v/>
      </c>
      <c r="BE36" s="45">
        <f>SUMPRODUCT((Teams!$B$5:$B$26=$B36)*Workforce!R$7:R$28*Teams!$J$5:$J$26)*Assumptions!$C$17*Assumptions!$C$16</f>
        <v/>
      </c>
      <c r="BF36" s="45">
        <f>SUMPRODUCT((Teams!$B$5:$B$26=$B36)*Workforce!S$7:S$28*Teams!$J$5:$J$26)*Assumptions!$C$17*Assumptions!$C$16</f>
        <v/>
      </c>
      <c r="BG36" s="45">
        <f>SUMPRODUCT((Teams!$B$5:$B$26=$B36)*Workforce!T$7:T$28*Teams!$J$5:$J$26)*Assumptions!$C$17*Assumptions!$C$16</f>
        <v/>
      </c>
      <c r="BH36" s="45">
        <f>SUMPRODUCT((Teams!$B$5:$B$26=$B36)*Workforce!U$7:U$28*Teams!$J$5:$J$26)*Assumptions!$C$17*Assumptions!$C$16</f>
        <v/>
      </c>
      <c r="BI36" s="45">
        <f>SUMPRODUCT((Teams!$B$5:$B$26=$B36)*Workforce!V$7:V$28*Teams!$J$5:$J$26)*Assumptions!$C$17*Assumptions!$C$16</f>
        <v/>
      </c>
      <c r="BJ36" s="45">
        <f>SUMPRODUCT((Teams!$B$5:$B$26=$B36)*Workforce!W$7:W$28*Teams!$J$5:$J$26)*Assumptions!$C$17*Assumptions!$C$16</f>
        <v/>
      </c>
      <c r="BK36" s="45">
        <f>SUMPRODUCT((Teams!$B$5:$B$26=$B36)*Workforce!X$7:X$28*Teams!$J$5:$J$26)*Assumptions!$C$17*Assumptions!$C$16</f>
        <v/>
      </c>
      <c r="BL36" s="45">
        <f>SUMPRODUCT((Teams!$B$5:$B$26=$B36)*Workforce!Y$7:Y$28*Teams!$J$5:$J$26)*Assumptions!$C$17*Assumptions!$C$16</f>
        <v/>
      </c>
      <c r="BM36" s="45">
        <f>SUMPRODUCT((Teams!$B$5:$B$26=$B36)*Workforce!Z$7:Z$28*Teams!$J$5:$J$26)*Assumptions!$C$17*Assumptions!$C$16</f>
        <v/>
      </c>
      <c r="BN36" s="45">
        <f>SUMPRODUCT((Teams!$B$5:$B$26=$B36)*Workforce!AA$7:AA$28*Teams!$J$5:$J$26)*Assumptions!$C$17*Assumptions!$C$16</f>
        <v/>
      </c>
      <c r="BO36" s="45">
        <f>SUMPRODUCT((Teams!$B$5:$B$26=$B36)*Workforce!AB$7:AB$28*Teams!$J$5:$J$26)*Assumptions!$C$17*Assumptions!$C$16</f>
        <v/>
      </c>
      <c r="BP36" s="45">
        <f>SUMPRODUCT((Teams!$B$5:$B$26=$B36)*Workforce!AC$7:AC$28*Teams!$J$5:$J$26)*Assumptions!$C$17*Assumptions!$C$16</f>
        <v/>
      </c>
      <c r="BQ36" s="45">
        <f>SUMPRODUCT((Teams!$B$5:$B$26=$B36)*Workforce!AD$7:AD$28*Teams!$J$5:$J$26)*Assumptions!$C$17*Assumptions!$C$16</f>
        <v/>
      </c>
      <c r="BR36" s="45">
        <f>SUMPRODUCT((Teams!$B$5:$B$26=$B36)*Workforce!AE$7:AE$28*Teams!$J$5:$J$26)*Assumptions!$C$17*Assumptions!$C$16</f>
        <v/>
      </c>
      <c r="BS36" s="45">
        <f>SUMPRODUCT((Teams!$B$5:$B$26=$B36)*Workforce!AF$7:AF$28*Teams!$J$5:$J$26)*Assumptions!$C$17*Assumptions!$C$16</f>
        <v/>
      </c>
      <c r="BT36" s="45">
        <f>SUMPRODUCT((Teams!$B$5:$B$26=$B36)*Workforce!AG$7:AG$28*Teams!$J$5:$J$26)*Assumptions!$C$17*Assumptions!$C$16</f>
        <v/>
      </c>
      <c r="BU36" s="45">
        <f>SUMPRODUCT((Teams!$B$5:$B$26=$B36)*Workforce!AH$7:AH$28*Teams!$J$5:$J$26)*Assumptions!$C$17*Assumptions!$C$16</f>
        <v/>
      </c>
      <c r="BV36" s="45">
        <f>SUMPRODUCT((Teams!$B$5:$B$26=$B36)*Workforce!AI$7:AI$28*Teams!$J$5:$J$26)*Assumptions!$C$17*Assumptions!$C$16</f>
        <v/>
      </c>
      <c r="BW36" s="45">
        <f>SUMPRODUCT((Teams!$B$5:$B$26=$B36)*Workforce!AJ$7:AJ$28*Teams!$J$5:$J$26)*Assumptions!$C$17*Assumptions!$C$16</f>
        <v/>
      </c>
      <c r="BX36" s="45">
        <f>SUMPRODUCT((Teams!$B$5:$B$26=$B36)*Workforce!AK$7:AK$28*Teams!$J$5:$J$26)*Assumptions!$C$17*Assumptions!$C$16</f>
        <v/>
      </c>
      <c r="BY36" s="45">
        <f>SUMPRODUCT((Teams!$B$5:$B$26=$B36)*Workforce!AL$7:AL$28*Teams!$J$5:$J$26)*Assumptions!$C$17*Assumptions!$C$16</f>
        <v/>
      </c>
      <c r="BZ36" s="45">
        <f>SUMPRODUCT((Teams!$B$5:$B$26=$B36)*Workforce!AM$7:AM$28*Teams!$J$5:$J$26)*Assumptions!$C$17*Assumptions!$C$16</f>
        <v/>
      </c>
      <c r="CA36" s="45">
        <f>SUMPRODUCT((Teams!$B$5:$B$26=$B36)*Workforce!AN$7:AN$28*Teams!$J$5:$J$26)*Assumptions!$C$17*Assumptions!$C$16</f>
        <v/>
      </c>
    </row>
    <row r="37">
      <c r="B37" s="4" t="inlineStr">
        <is>
          <t>Marrowbridge Infrastructure Ltd</t>
        </is>
      </c>
      <c r="C37" s="4">
        <f>MAX(AP37:CA37)</f>
        <v/>
      </c>
      <c r="D37" s="42">
        <f>ROUND(SUM(AP37:CA37),0)</f>
        <v/>
      </c>
      <c r="E37" s="44">
        <f>IFERROR(D37/SUM($D$30:$D$43),0)</f>
        <v/>
      </c>
      <c r="AP37" s="45">
        <f>SUMPRODUCT((Teams!$B$5:$B$26=$B37)*Workforce!C$7:C$28*Teams!$J$5:$J$26)*Assumptions!$C$17*Assumptions!$C$16</f>
        <v/>
      </c>
      <c r="AQ37" s="45">
        <f>SUMPRODUCT((Teams!$B$5:$B$26=$B37)*Workforce!D$7:D$28*Teams!$J$5:$J$26)*Assumptions!$C$17*Assumptions!$C$16</f>
        <v/>
      </c>
      <c r="AR37" s="45">
        <f>SUMPRODUCT((Teams!$B$5:$B$26=$B37)*Workforce!E$7:E$28*Teams!$J$5:$J$26)*Assumptions!$C$17*Assumptions!$C$16</f>
        <v/>
      </c>
      <c r="AS37" s="45">
        <f>SUMPRODUCT((Teams!$B$5:$B$26=$B37)*Workforce!F$7:F$28*Teams!$J$5:$J$26)*Assumptions!$C$17*Assumptions!$C$16</f>
        <v/>
      </c>
      <c r="AT37" s="45">
        <f>SUMPRODUCT((Teams!$B$5:$B$26=$B37)*Workforce!G$7:G$28*Teams!$J$5:$J$26)*Assumptions!$C$17*Assumptions!$C$16</f>
        <v/>
      </c>
      <c r="AU37" s="45">
        <f>SUMPRODUCT((Teams!$B$5:$B$26=$B37)*Workforce!H$7:H$28*Teams!$J$5:$J$26)*Assumptions!$C$17*Assumptions!$C$16</f>
        <v/>
      </c>
      <c r="AV37" s="45">
        <f>SUMPRODUCT((Teams!$B$5:$B$26=$B37)*Workforce!I$7:I$28*Teams!$J$5:$J$26)*Assumptions!$C$17*Assumptions!$C$16</f>
        <v/>
      </c>
      <c r="AW37" s="45">
        <f>SUMPRODUCT((Teams!$B$5:$B$26=$B37)*Workforce!J$7:J$28*Teams!$J$5:$J$26)*Assumptions!$C$17*Assumptions!$C$16</f>
        <v/>
      </c>
      <c r="AX37" s="45">
        <f>SUMPRODUCT((Teams!$B$5:$B$26=$B37)*Workforce!K$7:K$28*Teams!$J$5:$J$26)*Assumptions!$C$17*Assumptions!$C$16</f>
        <v/>
      </c>
      <c r="AY37" s="45">
        <f>SUMPRODUCT((Teams!$B$5:$B$26=$B37)*Workforce!L$7:L$28*Teams!$J$5:$J$26)*Assumptions!$C$17*Assumptions!$C$16</f>
        <v/>
      </c>
      <c r="AZ37" s="45">
        <f>SUMPRODUCT((Teams!$B$5:$B$26=$B37)*Workforce!M$7:M$28*Teams!$J$5:$J$26)*Assumptions!$C$17*Assumptions!$C$16</f>
        <v/>
      </c>
      <c r="BA37" s="45">
        <f>SUMPRODUCT((Teams!$B$5:$B$26=$B37)*Workforce!N$7:N$28*Teams!$J$5:$J$26)*Assumptions!$C$17*Assumptions!$C$16</f>
        <v/>
      </c>
      <c r="BB37" s="45">
        <f>SUMPRODUCT((Teams!$B$5:$B$26=$B37)*Workforce!O$7:O$28*Teams!$J$5:$J$26)*Assumptions!$C$17*Assumptions!$C$16</f>
        <v/>
      </c>
      <c r="BC37" s="45">
        <f>SUMPRODUCT((Teams!$B$5:$B$26=$B37)*Workforce!P$7:P$28*Teams!$J$5:$J$26)*Assumptions!$C$17*Assumptions!$C$16</f>
        <v/>
      </c>
      <c r="BD37" s="45">
        <f>SUMPRODUCT((Teams!$B$5:$B$26=$B37)*Workforce!Q$7:Q$28*Teams!$J$5:$J$26)*Assumptions!$C$17*Assumptions!$C$16</f>
        <v/>
      </c>
      <c r="BE37" s="45">
        <f>SUMPRODUCT((Teams!$B$5:$B$26=$B37)*Workforce!R$7:R$28*Teams!$J$5:$J$26)*Assumptions!$C$17*Assumptions!$C$16</f>
        <v/>
      </c>
      <c r="BF37" s="45">
        <f>SUMPRODUCT((Teams!$B$5:$B$26=$B37)*Workforce!S$7:S$28*Teams!$J$5:$J$26)*Assumptions!$C$17*Assumptions!$C$16</f>
        <v/>
      </c>
      <c r="BG37" s="45">
        <f>SUMPRODUCT((Teams!$B$5:$B$26=$B37)*Workforce!T$7:T$28*Teams!$J$5:$J$26)*Assumptions!$C$17*Assumptions!$C$16</f>
        <v/>
      </c>
      <c r="BH37" s="45">
        <f>SUMPRODUCT((Teams!$B$5:$B$26=$B37)*Workforce!U$7:U$28*Teams!$J$5:$J$26)*Assumptions!$C$17*Assumptions!$C$16</f>
        <v/>
      </c>
      <c r="BI37" s="45">
        <f>SUMPRODUCT((Teams!$B$5:$B$26=$B37)*Workforce!V$7:V$28*Teams!$J$5:$J$26)*Assumptions!$C$17*Assumptions!$C$16</f>
        <v/>
      </c>
      <c r="BJ37" s="45">
        <f>SUMPRODUCT((Teams!$B$5:$B$26=$B37)*Workforce!W$7:W$28*Teams!$J$5:$J$26)*Assumptions!$C$17*Assumptions!$C$16</f>
        <v/>
      </c>
      <c r="BK37" s="45">
        <f>SUMPRODUCT((Teams!$B$5:$B$26=$B37)*Workforce!X$7:X$28*Teams!$J$5:$J$26)*Assumptions!$C$17*Assumptions!$C$16</f>
        <v/>
      </c>
      <c r="BL37" s="45">
        <f>SUMPRODUCT((Teams!$B$5:$B$26=$B37)*Workforce!Y$7:Y$28*Teams!$J$5:$J$26)*Assumptions!$C$17*Assumptions!$C$16</f>
        <v/>
      </c>
      <c r="BM37" s="45">
        <f>SUMPRODUCT((Teams!$B$5:$B$26=$B37)*Workforce!Z$7:Z$28*Teams!$J$5:$J$26)*Assumptions!$C$17*Assumptions!$C$16</f>
        <v/>
      </c>
      <c r="BN37" s="45">
        <f>SUMPRODUCT((Teams!$B$5:$B$26=$B37)*Workforce!AA$7:AA$28*Teams!$J$5:$J$26)*Assumptions!$C$17*Assumptions!$C$16</f>
        <v/>
      </c>
      <c r="BO37" s="45">
        <f>SUMPRODUCT((Teams!$B$5:$B$26=$B37)*Workforce!AB$7:AB$28*Teams!$J$5:$J$26)*Assumptions!$C$17*Assumptions!$C$16</f>
        <v/>
      </c>
      <c r="BP37" s="45">
        <f>SUMPRODUCT((Teams!$B$5:$B$26=$B37)*Workforce!AC$7:AC$28*Teams!$J$5:$J$26)*Assumptions!$C$17*Assumptions!$C$16</f>
        <v/>
      </c>
      <c r="BQ37" s="45">
        <f>SUMPRODUCT((Teams!$B$5:$B$26=$B37)*Workforce!AD$7:AD$28*Teams!$J$5:$J$26)*Assumptions!$C$17*Assumptions!$C$16</f>
        <v/>
      </c>
      <c r="BR37" s="45">
        <f>SUMPRODUCT((Teams!$B$5:$B$26=$B37)*Workforce!AE$7:AE$28*Teams!$J$5:$J$26)*Assumptions!$C$17*Assumptions!$C$16</f>
        <v/>
      </c>
      <c r="BS37" s="45">
        <f>SUMPRODUCT((Teams!$B$5:$B$26=$B37)*Workforce!AF$7:AF$28*Teams!$J$5:$J$26)*Assumptions!$C$17*Assumptions!$C$16</f>
        <v/>
      </c>
      <c r="BT37" s="45">
        <f>SUMPRODUCT((Teams!$B$5:$B$26=$B37)*Workforce!AG$7:AG$28*Teams!$J$5:$J$26)*Assumptions!$C$17*Assumptions!$C$16</f>
        <v/>
      </c>
      <c r="BU37" s="45">
        <f>SUMPRODUCT((Teams!$B$5:$B$26=$B37)*Workforce!AH$7:AH$28*Teams!$J$5:$J$26)*Assumptions!$C$17*Assumptions!$C$16</f>
        <v/>
      </c>
      <c r="BV37" s="45">
        <f>SUMPRODUCT((Teams!$B$5:$B$26=$B37)*Workforce!AI$7:AI$28*Teams!$J$5:$J$26)*Assumptions!$C$17*Assumptions!$C$16</f>
        <v/>
      </c>
      <c r="BW37" s="45">
        <f>SUMPRODUCT((Teams!$B$5:$B$26=$B37)*Workforce!AJ$7:AJ$28*Teams!$J$5:$J$26)*Assumptions!$C$17*Assumptions!$C$16</f>
        <v/>
      </c>
      <c r="BX37" s="45">
        <f>SUMPRODUCT((Teams!$B$5:$B$26=$B37)*Workforce!AK$7:AK$28*Teams!$J$5:$J$26)*Assumptions!$C$17*Assumptions!$C$16</f>
        <v/>
      </c>
      <c r="BY37" s="45">
        <f>SUMPRODUCT((Teams!$B$5:$B$26=$B37)*Workforce!AL$7:AL$28*Teams!$J$5:$J$26)*Assumptions!$C$17*Assumptions!$C$16</f>
        <v/>
      </c>
      <c r="BZ37" s="45">
        <f>SUMPRODUCT((Teams!$B$5:$B$26=$B37)*Workforce!AM$7:AM$28*Teams!$J$5:$J$26)*Assumptions!$C$17*Assumptions!$C$16</f>
        <v/>
      </c>
      <c r="CA37" s="45">
        <f>SUMPRODUCT((Teams!$B$5:$B$26=$B37)*Workforce!AN$7:AN$28*Teams!$J$5:$J$26)*Assumptions!$C$17*Assumptions!$C$16</f>
        <v/>
      </c>
    </row>
    <row r="38">
      <c r="B38" s="4" t="inlineStr">
        <is>
          <t>Northgate Steel Ltd</t>
        </is>
      </c>
      <c r="C38" s="4">
        <f>MAX(AP38:CA38)</f>
        <v/>
      </c>
      <c r="D38" s="42">
        <f>ROUND(SUM(AP38:CA38),0)</f>
        <v/>
      </c>
      <c r="E38" s="44">
        <f>IFERROR(D38/SUM($D$30:$D$43),0)</f>
        <v/>
      </c>
      <c r="AP38" s="45">
        <f>SUMPRODUCT((Teams!$B$5:$B$26=$B38)*Workforce!C$7:C$28*Teams!$J$5:$J$26)*Assumptions!$C$17*Assumptions!$C$16</f>
        <v/>
      </c>
      <c r="AQ38" s="45">
        <f>SUMPRODUCT((Teams!$B$5:$B$26=$B38)*Workforce!D$7:D$28*Teams!$J$5:$J$26)*Assumptions!$C$17*Assumptions!$C$16</f>
        <v/>
      </c>
      <c r="AR38" s="45">
        <f>SUMPRODUCT((Teams!$B$5:$B$26=$B38)*Workforce!E$7:E$28*Teams!$J$5:$J$26)*Assumptions!$C$17*Assumptions!$C$16</f>
        <v/>
      </c>
      <c r="AS38" s="45">
        <f>SUMPRODUCT((Teams!$B$5:$B$26=$B38)*Workforce!F$7:F$28*Teams!$J$5:$J$26)*Assumptions!$C$17*Assumptions!$C$16</f>
        <v/>
      </c>
      <c r="AT38" s="45">
        <f>SUMPRODUCT((Teams!$B$5:$B$26=$B38)*Workforce!G$7:G$28*Teams!$J$5:$J$26)*Assumptions!$C$17*Assumptions!$C$16</f>
        <v/>
      </c>
      <c r="AU38" s="45">
        <f>SUMPRODUCT((Teams!$B$5:$B$26=$B38)*Workforce!H$7:H$28*Teams!$J$5:$J$26)*Assumptions!$C$17*Assumptions!$C$16</f>
        <v/>
      </c>
      <c r="AV38" s="45">
        <f>SUMPRODUCT((Teams!$B$5:$B$26=$B38)*Workforce!I$7:I$28*Teams!$J$5:$J$26)*Assumptions!$C$17*Assumptions!$C$16</f>
        <v/>
      </c>
      <c r="AW38" s="45">
        <f>SUMPRODUCT((Teams!$B$5:$B$26=$B38)*Workforce!J$7:J$28*Teams!$J$5:$J$26)*Assumptions!$C$17*Assumptions!$C$16</f>
        <v/>
      </c>
      <c r="AX38" s="45">
        <f>SUMPRODUCT((Teams!$B$5:$B$26=$B38)*Workforce!K$7:K$28*Teams!$J$5:$J$26)*Assumptions!$C$17*Assumptions!$C$16</f>
        <v/>
      </c>
      <c r="AY38" s="45">
        <f>SUMPRODUCT((Teams!$B$5:$B$26=$B38)*Workforce!L$7:L$28*Teams!$J$5:$J$26)*Assumptions!$C$17*Assumptions!$C$16</f>
        <v/>
      </c>
      <c r="AZ38" s="45">
        <f>SUMPRODUCT((Teams!$B$5:$B$26=$B38)*Workforce!M$7:M$28*Teams!$J$5:$J$26)*Assumptions!$C$17*Assumptions!$C$16</f>
        <v/>
      </c>
      <c r="BA38" s="45">
        <f>SUMPRODUCT((Teams!$B$5:$B$26=$B38)*Workforce!N$7:N$28*Teams!$J$5:$J$26)*Assumptions!$C$17*Assumptions!$C$16</f>
        <v/>
      </c>
      <c r="BB38" s="45">
        <f>SUMPRODUCT((Teams!$B$5:$B$26=$B38)*Workforce!O$7:O$28*Teams!$J$5:$J$26)*Assumptions!$C$17*Assumptions!$C$16</f>
        <v/>
      </c>
      <c r="BC38" s="45">
        <f>SUMPRODUCT((Teams!$B$5:$B$26=$B38)*Workforce!P$7:P$28*Teams!$J$5:$J$26)*Assumptions!$C$17*Assumptions!$C$16</f>
        <v/>
      </c>
      <c r="BD38" s="45">
        <f>SUMPRODUCT((Teams!$B$5:$B$26=$B38)*Workforce!Q$7:Q$28*Teams!$J$5:$J$26)*Assumptions!$C$17*Assumptions!$C$16</f>
        <v/>
      </c>
      <c r="BE38" s="45">
        <f>SUMPRODUCT((Teams!$B$5:$B$26=$B38)*Workforce!R$7:R$28*Teams!$J$5:$J$26)*Assumptions!$C$17*Assumptions!$C$16</f>
        <v/>
      </c>
      <c r="BF38" s="45">
        <f>SUMPRODUCT((Teams!$B$5:$B$26=$B38)*Workforce!S$7:S$28*Teams!$J$5:$J$26)*Assumptions!$C$17*Assumptions!$C$16</f>
        <v/>
      </c>
      <c r="BG38" s="45">
        <f>SUMPRODUCT((Teams!$B$5:$B$26=$B38)*Workforce!T$7:T$28*Teams!$J$5:$J$26)*Assumptions!$C$17*Assumptions!$C$16</f>
        <v/>
      </c>
      <c r="BH38" s="45">
        <f>SUMPRODUCT((Teams!$B$5:$B$26=$B38)*Workforce!U$7:U$28*Teams!$J$5:$J$26)*Assumptions!$C$17*Assumptions!$C$16</f>
        <v/>
      </c>
      <c r="BI38" s="45">
        <f>SUMPRODUCT((Teams!$B$5:$B$26=$B38)*Workforce!V$7:V$28*Teams!$J$5:$J$26)*Assumptions!$C$17*Assumptions!$C$16</f>
        <v/>
      </c>
      <c r="BJ38" s="45">
        <f>SUMPRODUCT((Teams!$B$5:$B$26=$B38)*Workforce!W$7:W$28*Teams!$J$5:$J$26)*Assumptions!$C$17*Assumptions!$C$16</f>
        <v/>
      </c>
      <c r="BK38" s="45">
        <f>SUMPRODUCT((Teams!$B$5:$B$26=$B38)*Workforce!X$7:X$28*Teams!$J$5:$J$26)*Assumptions!$C$17*Assumptions!$C$16</f>
        <v/>
      </c>
      <c r="BL38" s="45">
        <f>SUMPRODUCT((Teams!$B$5:$B$26=$B38)*Workforce!Y$7:Y$28*Teams!$J$5:$J$26)*Assumptions!$C$17*Assumptions!$C$16</f>
        <v/>
      </c>
      <c r="BM38" s="45">
        <f>SUMPRODUCT((Teams!$B$5:$B$26=$B38)*Workforce!Z$7:Z$28*Teams!$J$5:$J$26)*Assumptions!$C$17*Assumptions!$C$16</f>
        <v/>
      </c>
      <c r="BN38" s="45">
        <f>SUMPRODUCT((Teams!$B$5:$B$26=$B38)*Workforce!AA$7:AA$28*Teams!$J$5:$J$26)*Assumptions!$C$17*Assumptions!$C$16</f>
        <v/>
      </c>
      <c r="BO38" s="45">
        <f>SUMPRODUCT((Teams!$B$5:$B$26=$B38)*Workforce!AB$7:AB$28*Teams!$J$5:$J$26)*Assumptions!$C$17*Assumptions!$C$16</f>
        <v/>
      </c>
      <c r="BP38" s="45">
        <f>SUMPRODUCT((Teams!$B$5:$B$26=$B38)*Workforce!AC$7:AC$28*Teams!$J$5:$J$26)*Assumptions!$C$17*Assumptions!$C$16</f>
        <v/>
      </c>
      <c r="BQ38" s="45">
        <f>SUMPRODUCT((Teams!$B$5:$B$26=$B38)*Workforce!AD$7:AD$28*Teams!$J$5:$J$26)*Assumptions!$C$17*Assumptions!$C$16</f>
        <v/>
      </c>
      <c r="BR38" s="45">
        <f>SUMPRODUCT((Teams!$B$5:$B$26=$B38)*Workforce!AE$7:AE$28*Teams!$J$5:$J$26)*Assumptions!$C$17*Assumptions!$C$16</f>
        <v/>
      </c>
      <c r="BS38" s="45">
        <f>SUMPRODUCT((Teams!$B$5:$B$26=$B38)*Workforce!AF$7:AF$28*Teams!$J$5:$J$26)*Assumptions!$C$17*Assumptions!$C$16</f>
        <v/>
      </c>
      <c r="BT38" s="45">
        <f>SUMPRODUCT((Teams!$B$5:$B$26=$B38)*Workforce!AG$7:AG$28*Teams!$J$5:$J$26)*Assumptions!$C$17*Assumptions!$C$16</f>
        <v/>
      </c>
      <c r="BU38" s="45">
        <f>SUMPRODUCT((Teams!$B$5:$B$26=$B38)*Workforce!AH$7:AH$28*Teams!$J$5:$J$26)*Assumptions!$C$17*Assumptions!$C$16</f>
        <v/>
      </c>
      <c r="BV38" s="45">
        <f>SUMPRODUCT((Teams!$B$5:$B$26=$B38)*Workforce!AI$7:AI$28*Teams!$J$5:$J$26)*Assumptions!$C$17*Assumptions!$C$16</f>
        <v/>
      </c>
      <c r="BW38" s="45">
        <f>SUMPRODUCT((Teams!$B$5:$B$26=$B38)*Workforce!AJ$7:AJ$28*Teams!$J$5:$J$26)*Assumptions!$C$17*Assumptions!$C$16</f>
        <v/>
      </c>
      <c r="BX38" s="45">
        <f>SUMPRODUCT((Teams!$B$5:$B$26=$B38)*Workforce!AK$7:AK$28*Teams!$J$5:$J$26)*Assumptions!$C$17*Assumptions!$C$16</f>
        <v/>
      </c>
      <c r="BY38" s="45">
        <f>SUMPRODUCT((Teams!$B$5:$B$26=$B38)*Workforce!AL$7:AL$28*Teams!$J$5:$J$26)*Assumptions!$C$17*Assumptions!$C$16</f>
        <v/>
      </c>
      <c r="BZ38" s="45">
        <f>SUMPRODUCT((Teams!$B$5:$B$26=$B38)*Workforce!AM$7:AM$28*Teams!$J$5:$J$26)*Assumptions!$C$17*Assumptions!$C$16</f>
        <v/>
      </c>
      <c r="CA38" s="45">
        <f>SUMPRODUCT((Teams!$B$5:$B$26=$B38)*Workforce!AN$7:AN$28*Teams!$J$5:$J$26)*Assumptions!$C$17*Assumptions!$C$16</f>
        <v/>
      </c>
    </row>
    <row r="39">
      <c r="B39" s="4" t="inlineStr">
        <is>
          <t>Penmark Cable Services Ltd</t>
        </is>
      </c>
      <c r="C39" s="4">
        <f>MAX(AP39:CA39)</f>
        <v/>
      </c>
      <c r="D39" s="42">
        <f>ROUND(SUM(AP39:CA39),0)</f>
        <v/>
      </c>
      <c r="E39" s="44">
        <f>IFERROR(D39/SUM($D$30:$D$43),0)</f>
        <v/>
      </c>
      <c r="AP39" s="45">
        <f>SUMPRODUCT((Teams!$B$5:$B$26=$B39)*Workforce!C$7:C$28*Teams!$J$5:$J$26)*Assumptions!$C$17*Assumptions!$C$16</f>
        <v/>
      </c>
      <c r="AQ39" s="45">
        <f>SUMPRODUCT((Teams!$B$5:$B$26=$B39)*Workforce!D$7:D$28*Teams!$J$5:$J$26)*Assumptions!$C$17*Assumptions!$C$16</f>
        <v/>
      </c>
      <c r="AR39" s="45">
        <f>SUMPRODUCT((Teams!$B$5:$B$26=$B39)*Workforce!E$7:E$28*Teams!$J$5:$J$26)*Assumptions!$C$17*Assumptions!$C$16</f>
        <v/>
      </c>
      <c r="AS39" s="45">
        <f>SUMPRODUCT((Teams!$B$5:$B$26=$B39)*Workforce!F$7:F$28*Teams!$J$5:$J$26)*Assumptions!$C$17*Assumptions!$C$16</f>
        <v/>
      </c>
      <c r="AT39" s="45">
        <f>SUMPRODUCT((Teams!$B$5:$B$26=$B39)*Workforce!G$7:G$28*Teams!$J$5:$J$26)*Assumptions!$C$17*Assumptions!$C$16</f>
        <v/>
      </c>
      <c r="AU39" s="45">
        <f>SUMPRODUCT((Teams!$B$5:$B$26=$B39)*Workforce!H$7:H$28*Teams!$J$5:$J$26)*Assumptions!$C$17*Assumptions!$C$16</f>
        <v/>
      </c>
      <c r="AV39" s="45">
        <f>SUMPRODUCT((Teams!$B$5:$B$26=$B39)*Workforce!I$7:I$28*Teams!$J$5:$J$26)*Assumptions!$C$17*Assumptions!$C$16</f>
        <v/>
      </c>
      <c r="AW39" s="45">
        <f>SUMPRODUCT((Teams!$B$5:$B$26=$B39)*Workforce!J$7:J$28*Teams!$J$5:$J$26)*Assumptions!$C$17*Assumptions!$C$16</f>
        <v/>
      </c>
      <c r="AX39" s="45">
        <f>SUMPRODUCT((Teams!$B$5:$B$26=$B39)*Workforce!K$7:K$28*Teams!$J$5:$J$26)*Assumptions!$C$17*Assumptions!$C$16</f>
        <v/>
      </c>
      <c r="AY39" s="45">
        <f>SUMPRODUCT((Teams!$B$5:$B$26=$B39)*Workforce!L$7:L$28*Teams!$J$5:$J$26)*Assumptions!$C$17*Assumptions!$C$16</f>
        <v/>
      </c>
      <c r="AZ39" s="45">
        <f>SUMPRODUCT((Teams!$B$5:$B$26=$B39)*Workforce!M$7:M$28*Teams!$J$5:$J$26)*Assumptions!$C$17*Assumptions!$C$16</f>
        <v/>
      </c>
      <c r="BA39" s="45">
        <f>SUMPRODUCT((Teams!$B$5:$B$26=$B39)*Workforce!N$7:N$28*Teams!$J$5:$J$26)*Assumptions!$C$17*Assumptions!$C$16</f>
        <v/>
      </c>
      <c r="BB39" s="45">
        <f>SUMPRODUCT((Teams!$B$5:$B$26=$B39)*Workforce!O$7:O$28*Teams!$J$5:$J$26)*Assumptions!$C$17*Assumptions!$C$16</f>
        <v/>
      </c>
      <c r="BC39" s="45">
        <f>SUMPRODUCT((Teams!$B$5:$B$26=$B39)*Workforce!P$7:P$28*Teams!$J$5:$J$26)*Assumptions!$C$17*Assumptions!$C$16</f>
        <v/>
      </c>
      <c r="BD39" s="45">
        <f>SUMPRODUCT((Teams!$B$5:$B$26=$B39)*Workforce!Q$7:Q$28*Teams!$J$5:$J$26)*Assumptions!$C$17*Assumptions!$C$16</f>
        <v/>
      </c>
      <c r="BE39" s="45">
        <f>SUMPRODUCT((Teams!$B$5:$B$26=$B39)*Workforce!R$7:R$28*Teams!$J$5:$J$26)*Assumptions!$C$17*Assumptions!$C$16</f>
        <v/>
      </c>
      <c r="BF39" s="45">
        <f>SUMPRODUCT((Teams!$B$5:$B$26=$B39)*Workforce!S$7:S$28*Teams!$J$5:$J$26)*Assumptions!$C$17*Assumptions!$C$16</f>
        <v/>
      </c>
      <c r="BG39" s="45">
        <f>SUMPRODUCT((Teams!$B$5:$B$26=$B39)*Workforce!T$7:T$28*Teams!$J$5:$J$26)*Assumptions!$C$17*Assumptions!$C$16</f>
        <v/>
      </c>
      <c r="BH39" s="45">
        <f>SUMPRODUCT((Teams!$B$5:$B$26=$B39)*Workforce!U$7:U$28*Teams!$J$5:$J$26)*Assumptions!$C$17*Assumptions!$C$16</f>
        <v/>
      </c>
      <c r="BI39" s="45">
        <f>SUMPRODUCT((Teams!$B$5:$B$26=$B39)*Workforce!V$7:V$28*Teams!$J$5:$J$26)*Assumptions!$C$17*Assumptions!$C$16</f>
        <v/>
      </c>
      <c r="BJ39" s="45">
        <f>SUMPRODUCT((Teams!$B$5:$B$26=$B39)*Workforce!W$7:W$28*Teams!$J$5:$J$26)*Assumptions!$C$17*Assumptions!$C$16</f>
        <v/>
      </c>
      <c r="BK39" s="45">
        <f>SUMPRODUCT((Teams!$B$5:$B$26=$B39)*Workforce!X$7:X$28*Teams!$J$5:$J$26)*Assumptions!$C$17*Assumptions!$C$16</f>
        <v/>
      </c>
      <c r="BL39" s="45">
        <f>SUMPRODUCT((Teams!$B$5:$B$26=$B39)*Workforce!Y$7:Y$28*Teams!$J$5:$J$26)*Assumptions!$C$17*Assumptions!$C$16</f>
        <v/>
      </c>
      <c r="BM39" s="45">
        <f>SUMPRODUCT((Teams!$B$5:$B$26=$B39)*Workforce!Z$7:Z$28*Teams!$J$5:$J$26)*Assumptions!$C$17*Assumptions!$C$16</f>
        <v/>
      </c>
      <c r="BN39" s="45">
        <f>SUMPRODUCT((Teams!$B$5:$B$26=$B39)*Workforce!AA$7:AA$28*Teams!$J$5:$J$26)*Assumptions!$C$17*Assumptions!$C$16</f>
        <v/>
      </c>
      <c r="BO39" s="45">
        <f>SUMPRODUCT((Teams!$B$5:$B$26=$B39)*Workforce!AB$7:AB$28*Teams!$J$5:$J$26)*Assumptions!$C$17*Assumptions!$C$16</f>
        <v/>
      </c>
      <c r="BP39" s="45">
        <f>SUMPRODUCT((Teams!$B$5:$B$26=$B39)*Workforce!AC$7:AC$28*Teams!$J$5:$J$26)*Assumptions!$C$17*Assumptions!$C$16</f>
        <v/>
      </c>
      <c r="BQ39" s="45">
        <f>SUMPRODUCT((Teams!$B$5:$B$26=$B39)*Workforce!AD$7:AD$28*Teams!$J$5:$J$26)*Assumptions!$C$17*Assumptions!$C$16</f>
        <v/>
      </c>
      <c r="BR39" s="45">
        <f>SUMPRODUCT((Teams!$B$5:$B$26=$B39)*Workforce!AE$7:AE$28*Teams!$J$5:$J$26)*Assumptions!$C$17*Assumptions!$C$16</f>
        <v/>
      </c>
      <c r="BS39" s="45">
        <f>SUMPRODUCT((Teams!$B$5:$B$26=$B39)*Workforce!AF$7:AF$28*Teams!$J$5:$J$26)*Assumptions!$C$17*Assumptions!$C$16</f>
        <v/>
      </c>
      <c r="BT39" s="45">
        <f>SUMPRODUCT((Teams!$B$5:$B$26=$B39)*Workforce!AG$7:AG$28*Teams!$J$5:$J$26)*Assumptions!$C$17*Assumptions!$C$16</f>
        <v/>
      </c>
      <c r="BU39" s="45">
        <f>SUMPRODUCT((Teams!$B$5:$B$26=$B39)*Workforce!AH$7:AH$28*Teams!$J$5:$J$26)*Assumptions!$C$17*Assumptions!$C$16</f>
        <v/>
      </c>
      <c r="BV39" s="45">
        <f>SUMPRODUCT((Teams!$B$5:$B$26=$B39)*Workforce!AI$7:AI$28*Teams!$J$5:$J$26)*Assumptions!$C$17*Assumptions!$C$16</f>
        <v/>
      </c>
      <c r="BW39" s="45">
        <f>SUMPRODUCT((Teams!$B$5:$B$26=$B39)*Workforce!AJ$7:AJ$28*Teams!$J$5:$J$26)*Assumptions!$C$17*Assumptions!$C$16</f>
        <v/>
      </c>
      <c r="BX39" s="45">
        <f>SUMPRODUCT((Teams!$B$5:$B$26=$B39)*Workforce!AK$7:AK$28*Teams!$J$5:$J$26)*Assumptions!$C$17*Assumptions!$C$16</f>
        <v/>
      </c>
      <c r="BY39" s="45">
        <f>SUMPRODUCT((Teams!$B$5:$B$26=$B39)*Workforce!AL$7:AL$28*Teams!$J$5:$J$26)*Assumptions!$C$17*Assumptions!$C$16</f>
        <v/>
      </c>
      <c r="BZ39" s="45">
        <f>SUMPRODUCT((Teams!$B$5:$B$26=$B39)*Workforce!AM$7:AM$28*Teams!$J$5:$J$26)*Assumptions!$C$17*Assumptions!$C$16</f>
        <v/>
      </c>
      <c r="CA39" s="45">
        <f>SUMPRODUCT((Teams!$B$5:$B$26=$B39)*Workforce!AN$7:AN$28*Teams!$J$5:$J$26)*Assumptions!$C$17*Assumptions!$C$16</f>
        <v/>
      </c>
    </row>
    <row r="40">
      <c r="B40" s="4" t="inlineStr">
        <is>
          <t>Redmoor Groundworks Ltd</t>
        </is>
      </c>
      <c r="C40" s="4">
        <f>MAX(AP40:CA40)</f>
        <v/>
      </c>
      <c r="D40" s="42">
        <f>ROUND(SUM(AP40:CA40),0)</f>
        <v/>
      </c>
      <c r="E40" s="44">
        <f>IFERROR(D40/SUM($D$30:$D$43),0)</f>
        <v/>
      </c>
      <c r="AP40" s="45">
        <f>SUMPRODUCT((Teams!$B$5:$B$26=$B40)*Workforce!C$7:C$28*Teams!$J$5:$J$26)*Assumptions!$C$17*Assumptions!$C$16</f>
        <v/>
      </c>
      <c r="AQ40" s="45">
        <f>SUMPRODUCT((Teams!$B$5:$B$26=$B40)*Workforce!D$7:D$28*Teams!$J$5:$J$26)*Assumptions!$C$17*Assumptions!$C$16</f>
        <v/>
      </c>
      <c r="AR40" s="45">
        <f>SUMPRODUCT((Teams!$B$5:$B$26=$B40)*Workforce!E$7:E$28*Teams!$J$5:$J$26)*Assumptions!$C$17*Assumptions!$C$16</f>
        <v/>
      </c>
      <c r="AS40" s="45">
        <f>SUMPRODUCT((Teams!$B$5:$B$26=$B40)*Workforce!F$7:F$28*Teams!$J$5:$J$26)*Assumptions!$C$17*Assumptions!$C$16</f>
        <v/>
      </c>
      <c r="AT40" s="45">
        <f>SUMPRODUCT((Teams!$B$5:$B$26=$B40)*Workforce!G$7:G$28*Teams!$J$5:$J$26)*Assumptions!$C$17*Assumptions!$C$16</f>
        <v/>
      </c>
      <c r="AU40" s="45">
        <f>SUMPRODUCT((Teams!$B$5:$B$26=$B40)*Workforce!H$7:H$28*Teams!$J$5:$J$26)*Assumptions!$C$17*Assumptions!$C$16</f>
        <v/>
      </c>
      <c r="AV40" s="45">
        <f>SUMPRODUCT((Teams!$B$5:$B$26=$B40)*Workforce!I$7:I$28*Teams!$J$5:$J$26)*Assumptions!$C$17*Assumptions!$C$16</f>
        <v/>
      </c>
      <c r="AW40" s="45">
        <f>SUMPRODUCT((Teams!$B$5:$B$26=$B40)*Workforce!J$7:J$28*Teams!$J$5:$J$26)*Assumptions!$C$17*Assumptions!$C$16</f>
        <v/>
      </c>
      <c r="AX40" s="45">
        <f>SUMPRODUCT((Teams!$B$5:$B$26=$B40)*Workforce!K$7:K$28*Teams!$J$5:$J$26)*Assumptions!$C$17*Assumptions!$C$16</f>
        <v/>
      </c>
      <c r="AY40" s="45">
        <f>SUMPRODUCT((Teams!$B$5:$B$26=$B40)*Workforce!L$7:L$28*Teams!$J$5:$J$26)*Assumptions!$C$17*Assumptions!$C$16</f>
        <v/>
      </c>
      <c r="AZ40" s="45">
        <f>SUMPRODUCT((Teams!$B$5:$B$26=$B40)*Workforce!M$7:M$28*Teams!$J$5:$J$26)*Assumptions!$C$17*Assumptions!$C$16</f>
        <v/>
      </c>
      <c r="BA40" s="45">
        <f>SUMPRODUCT((Teams!$B$5:$B$26=$B40)*Workforce!N$7:N$28*Teams!$J$5:$J$26)*Assumptions!$C$17*Assumptions!$C$16</f>
        <v/>
      </c>
      <c r="BB40" s="45">
        <f>SUMPRODUCT((Teams!$B$5:$B$26=$B40)*Workforce!O$7:O$28*Teams!$J$5:$J$26)*Assumptions!$C$17*Assumptions!$C$16</f>
        <v/>
      </c>
      <c r="BC40" s="45">
        <f>SUMPRODUCT((Teams!$B$5:$B$26=$B40)*Workforce!P$7:P$28*Teams!$J$5:$J$26)*Assumptions!$C$17*Assumptions!$C$16</f>
        <v/>
      </c>
      <c r="BD40" s="45">
        <f>SUMPRODUCT((Teams!$B$5:$B$26=$B40)*Workforce!Q$7:Q$28*Teams!$J$5:$J$26)*Assumptions!$C$17*Assumptions!$C$16</f>
        <v/>
      </c>
      <c r="BE40" s="45">
        <f>SUMPRODUCT((Teams!$B$5:$B$26=$B40)*Workforce!R$7:R$28*Teams!$J$5:$J$26)*Assumptions!$C$17*Assumptions!$C$16</f>
        <v/>
      </c>
      <c r="BF40" s="45">
        <f>SUMPRODUCT((Teams!$B$5:$B$26=$B40)*Workforce!S$7:S$28*Teams!$J$5:$J$26)*Assumptions!$C$17*Assumptions!$C$16</f>
        <v/>
      </c>
      <c r="BG40" s="45">
        <f>SUMPRODUCT((Teams!$B$5:$B$26=$B40)*Workforce!T$7:T$28*Teams!$J$5:$J$26)*Assumptions!$C$17*Assumptions!$C$16</f>
        <v/>
      </c>
      <c r="BH40" s="45">
        <f>SUMPRODUCT((Teams!$B$5:$B$26=$B40)*Workforce!U$7:U$28*Teams!$J$5:$J$26)*Assumptions!$C$17*Assumptions!$C$16</f>
        <v/>
      </c>
      <c r="BI40" s="45">
        <f>SUMPRODUCT((Teams!$B$5:$B$26=$B40)*Workforce!V$7:V$28*Teams!$J$5:$J$26)*Assumptions!$C$17*Assumptions!$C$16</f>
        <v/>
      </c>
      <c r="BJ40" s="45">
        <f>SUMPRODUCT((Teams!$B$5:$B$26=$B40)*Workforce!W$7:W$28*Teams!$J$5:$J$26)*Assumptions!$C$17*Assumptions!$C$16</f>
        <v/>
      </c>
      <c r="BK40" s="45">
        <f>SUMPRODUCT((Teams!$B$5:$B$26=$B40)*Workforce!X$7:X$28*Teams!$J$5:$J$26)*Assumptions!$C$17*Assumptions!$C$16</f>
        <v/>
      </c>
      <c r="BL40" s="45">
        <f>SUMPRODUCT((Teams!$B$5:$B$26=$B40)*Workforce!Y$7:Y$28*Teams!$J$5:$J$26)*Assumptions!$C$17*Assumptions!$C$16</f>
        <v/>
      </c>
      <c r="BM40" s="45">
        <f>SUMPRODUCT((Teams!$B$5:$B$26=$B40)*Workforce!Z$7:Z$28*Teams!$J$5:$J$26)*Assumptions!$C$17*Assumptions!$C$16</f>
        <v/>
      </c>
      <c r="BN40" s="45">
        <f>SUMPRODUCT((Teams!$B$5:$B$26=$B40)*Workforce!AA$7:AA$28*Teams!$J$5:$J$26)*Assumptions!$C$17*Assumptions!$C$16</f>
        <v/>
      </c>
      <c r="BO40" s="45">
        <f>SUMPRODUCT((Teams!$B$5:$B$26=$B40)*Workforce!AB$7:AB$28*Teams!$J$5:$J$26)*Assumptions!$C$17*Assumptions!$C$16</f>
        <v/>
      </c>
      <c r="BP40" s="45">
        <f>SUMPRODUCT((Teams!$B$5:$B$26=$B40)*Workforce!AC$7:AC$28*Teams!$J$5:$J$26)*Assumptions!$C$17*Assumptions!$C$16</f>
        <v/>
      </c>
      <c r="BQ40" s="45">
        <f>SUMPRODUCT((Teams!$B$5:$B$26=$B40)*Workforce!AD$7:AD$28*Teams!$J$5:$J$26)*Assumptions!$C$17*Assumptions!$C$16</f>
        <v/>
      </c>
      <c r="BR40" s="45">
        <f>SUMPRODUCT((Teams!$B$5:$B$26=$B40)*Workforce!AE$7:AE$28*Teams!$J$5:$J$26)*Assumptions!$C$17*Assumptions!$C$16</f>
        <v/>
      </c>
      <c r="BS40" s="45">
        <f>SUMPRODUCT((Teams!$B$5:$B$26=$B40)*Workforce!AF$7:AF$28*Teams!$J$5:$J$26)*Assumptions!$C$17*Assumptions!$C$16</f>
        <v/>
      </c>
      <c r="BT40" s="45">
        <f>SUMPRODUCT((Teams!$B$5:$B$26=$B40)*Workforce!AG$7:AG$28*Teams!$J$5:$J$26)*Assumptions!$C$17*Assumptions!$C$16</f>
        <v/>
      </c>
      <c r="BU40" s="45">
        <f>SUMPRODUCT((Teams!$B$5:$B$26=$B40)*Workforce!AH$7:AH$28*Teams!$J$5:$J$26)*Assumptions!$C$17*Assumptions!$C$16</f>
        <v/>
      </c>
      <c r="BV40" s="45">
        <f>SUMPRODUCT((Teams!$B$5:$B$26=$B40)*Workforce!AI$7:AI$28*Teams!$J$5:$J$26)*Assumptions!$C$17*Assumptions!$C$16</f>
        <v/>
      </c>
      <c r="BW40" s="45">
        <f>SUMPRODUCT((Teams!$B$5:$B$26=$B40)*Workforce!AJ$7:AJ$28*Teams!$J$5:$J$26)*Assumptions!$C$17*Assumptions!$C$16</f>
        <v/>
      </c>
      <c r="BX40" s="45">
        <f>SUMPRODUCT((Teams!$B$5:$B$26=$B40)*Workforce!AK$7:AK$28*Teams!$J$5:$J$26)*Assumptions!$C$17*Assumptions!$C$16</f>
        <v/>
      </c>
      <c r="BY40" s="45">
        <f>SUMPRODUCT((Teams!$B$5:$B$26=$B40)*Workforce!AL$7:AL$28*Teams!$J$5:$J$26)*Assumptions!$C$17*Assumptions!$C$16</f>
        <v/>
      </c>
      <c r="BZ40" s="45">
        <f>SUMPRODUCT((Teams!$B$5:$B$26=$B40)*Workforce!AM$7:AM$28*Teams!$J$5:$J$26)*Assumptions!$C$17*Assumptions!$C$16</f>
        <v/>
      </c>
      <c r="CA40" s="45">
        <f>SUMPRODUCT((Teams!$B$5:$B$26=$B40)*Workforce!AN$7:AN$28*Teams!$J$5:$J$26)*Assumptions!$C$17*Assumptions!$C$16</f>
        <v/>
      </c>
    </row>
    <row r="41">
      <c r="B41" s="4" t="inlineStr">
        <is>
          <t>Southgate Testing &amp; Commissioning Ltd</t>
        </is>
      </c>
      <c r="C41" s="4">
        <f>MAX(AP41:CA41)</f>
        <v/>
      </c>
      <c r="D41" s="42">
        <f>ROUND(SUM(AP41:CA41),0)</f>
        <v/>
      </c>
      <c r="E41" s="44">
        <f>IFERROR(D41/SUM($D$30:$D$43),0)</f>
        <v/>
      </c>
      <c r="AP41" s="45">
        <f>SUMPRODUCT((Teams!$B$5:$B$26=$B41)*Workforce!C$7:C$28*Teams!$J$5:$J$26)*Assumptions!$C$17*Assumptions!$C$16</f>
        <v/>
      </c>
      <c r="AQ41" s="45">
        <f>SUMPRODUCT((Teams!$B$5:$B$26=$B41)*Workforce!D$7:D$28*Teams!$J$5:$J$26)*Assumptions!$C$17*Assumptions!$C$16</f>
        <v/>
      </c>
      <c r="AR41" s="45">
        <f>SUMPRODUCT((Teams!$B$5:$B$26=$B41)*Workforce!E$7:E$28*Teams!$J$5:$J$26)*Assumptions!$C$17*Assumptions!$C$16</f>
        <v/>
      </c>
      <c r="AS41" s="45">
        <f>SUMPRODUCT((Teams!$B$5:$B$26=$B41)*Workforce!F$7:F$28*Teams!$J$5:$J$26)*Assumptions!$C$17*Assumptions!$C$16</f>
        <v/>
      </c>
      <c r="AT41" s="45">
        <f>SUMPRODUCT((Teams!$B$5:$B$26=$B41)*Workforce!G$7:G$28*Teams!$J$5:$J$26)*Assumptions!$C$17*Assumptions!$C$16</f>
        <v/>
      </c>
      <c r="AU41" s="45">
        <f>SUMPRODUCT((Teams!$B$5:$B$26=$B41)*Workforce!H$7:H$28*Teams!$J$5:$J$26)*Assumptions!$C$17*Assumptions!$C$16</f>
        <v/>
      </c>
      <c r="AV41" s="45">
        <f>SUMPRODUCT((Teams!$B$5:$B$26=$B41)*Workforce!I$7:I$28*Teams!$J$5:$J$26)*Assumptions!$C$17*Assumptions!$C$16</f>
        <v/>
      </c>
      <c r="AW41" s="45">
        <f>SUMPRODUCT((Teams!$B$5:$B$26=$B41)*Workforce!J$7:J$28*Teams!$J$5:$J$26)*Assumptions!$C$17*Assumptions!$C$16</f>
        <v/>
      </c>
      <c r="AX41" s="45">
        <f>SUMPRODUCT((Teams!$B$5:$B$26=$B41)*Workforce!K$7:K$28*Teams!$J$5:$J$26)*Assumptions!$C$17*Assumptions!$C$16</f>
        <v/>
      </c>
      <c r="AY41" s="45">
        <f>SUMPRODUCT((Teams!$B$5:$B$26=$B41)*Workforce!L$7:L$28*Teams!$J$5:$J$26)*Assumptions!$C$17*Assumptions!$C$16</f>
        <v/>
      </c>
      <c r="AZ41" s="45">
        <f>SUMPRODUCT((Teams!$B$5:$B$26=$B41)*Workforce!M$7:M$28*Teams!$J$5:$J$26)*Assumptions!$C$17*Assumptions!$C$16</f>
        <v/>
      </c>
      <c r="BA41" s="45">
        <f>SUMPRODUCT((Teams!$B$5:$B$26=$B41)*Workforce!N$7:N$28*Teams!$J$5:$J$26)*Assumptions!$C$17*Assumptions!$C$16</f>
        <v/>
      </c>
      <c r="BB41" s="45">
        <f>SUMPRODUCT((Teams!$B$5:$B$26=$B41)*Workforce!O$7:O$28*Teams!$J$5:$J$26)*Assumptions!$C$17*Assumptions!$C$16</f>
        <v/>
      </c>
      <c r="BC41" s="45">
        <f>SUMPRODUCT((Teams!$B$5:$B$26=$B41)*Workforce!P$7:P$28*Teams!$J$5:$J$26)*Assumptions!$C$17*Assumptions!$C$16</f>
        <v/>
      </c>
      <c r="BD41" s="45">
        <f>SUMPRODUCT((Teams!$B$5:$B$26=$B41)*Workforce!Q$7:Q$28*Teams!$J$5:$J$26)*Assumptions!$C$17*Assumptions!$C$16</f>
        <v/>
      </c>
      <c r="BE41" s="45">
        <f>SUMPRODUCT((Teams!$B$5:$B$26=$B41)*Workforce!R$7:R$28*Teams!$J$5:$J$26)*Assumptions!$C$17*Assumptions!$C$16</f>
        <v/>
      </c>
      <c r="BF41" s="45">
        <f>SUMPRODUCT((Teams!$B$5:$B$26=$B41)*Workforce!S$7:S$28*Teams!$J$5:$J$26)*Assumptions!$C$17*Assumptions!$C$16</f>
        <v/>
      </c>
      <c r="BG41" s="45">
        <f>SUMPRODUCT((Teams!$B$5:$B$26=$B41)*Workforce!T$7:T$28*Teams!$J$5:$J$26)*Assumptions!$C$17*Assumptions!$C$16</f>
        <v/>
      </c>
      <c r="BH41" s="45">
        <f>SUMPRODUCT((Teams!$B$5:$B$26=$B41)*Workforce!U$7:U$28*Teams!$J$5:$J$26)*Assumptions!$C$17*Assumptions!$C$16</f>
        <v/>
      </c>
      <c r="BI41" s="45">
        <f>SUMPRODUCT((Teams!$B$5:$B$26=$B41)*Workforce!V$7:V$28*Teams!$J$5:$J$26)*Assumptions!$C$17*Assumptions!$C$16</f>
        <v/>
      </c>
      <c r="BJ41" s="45">
        <f>SUMPRODUCT((Teams!$B$5:$B$26=$B41)*Workforce!W$7:W$28*Teams!$J$5:$J$26)*Assumptions!$C$17*Assumptions!$C$16</f>
        <v/>
      </c>
      <c r="BK41" s="45">
        <f>SUMPRODUCT((Teams!$B$5:$B$26=$B41)*Workforce!X$7:X$28*Teams!$J$5:$J$26)*Assumptions!$C$17*Assumptions!$C$16</f>
        <v/>
      </c>
      <c r="BL41" s="45">
        <f>SUMPRODUCT((Teams!$B$5:$B$26=$B41)*Workforce!Y$7:Y$28*Teams!$J$5:$J$26)*Assumptions!$C$17*Assumptions!$C$16</f>
        <v/>
      </c>
      <c r="BM41" s="45">
        <f>SUMPRODUCT((Teams!$B$5:$B$26=$B41)*Workforce!Z$7:Z$28*Teams!$J$5:$J$26)*Assumptions!$C$17*Assumptions!$C$16</f>
        <v/>
      </c>
      <c r="BN41" s="45">
        <f>SUMPRODUCT((Teams!$B$5:$B$26=$B41)*Workforce!AA$7:AA$28*Teams!$J$5:$J$26)*Assumptions!$C$17*Assumptions!$C$16</f>
        <v/>
      </c>
      <c r="BO41" s="45">
        <f>SUMPRODUCT((Teams!$B$5:$B$26=$B41)*Workforce!AB$7:AB$28*Teams!$J$5:$J$26)*Assumptions!$C$17*Assumptions!$C$16</f>
        <v/>
      </c>
      <c r="BP41" s="45">
        <f>SUMPRODUCT((Teams!$B$5:$B$26=$B41)*Workforce!AC$7:AC$28*Teams!$J$5:$J$26)*Assumptions!$C$17*Assumptions!$C$16</f>
        <v/>
      </c>
      <c r="BQ41" s="45">
        <f>SUMPRODUCT((Teams!$B$5:$B$26=$B41)*Workforce!AD$7:AD$28*Teams!$J$5:$J$26)*Assumptions!$C$17*Assumptions!$C$16</f>
        <v/>
      </c>
      <c r="BR41" s="45">
        <f>SUMPRODUCT((Teams!$B$5:$B$26=$B41)*Workforce!AE$7:AE$28*Teams!$J$5:$J$26)*Assumptions!$C$17*Assumptions!$C$16</f>
        <v/>
      </c>
      <c r="BS41" s="45">
        <f>SUMPRODUCT((Teams!$B$5:$B$26=$B41)*Workforce!AF$7:AF$28*Teams!$J$5:$J$26)*Assumptions!$C$17*Assumptions!$C$16</f>
        <v/>
      </c>
      <c r="BT41" s="45">
        <f>SUMPRODUCT((Teams!$B$5:$B$26=$B41)*Workforce!AG$7:AG$28*Teams!$J$5:$J$26)*Assumptions!$C$17*Assumptions!$C$16</f>
        <v/>
      </c>
      <c r="BU41" s="45">
        <f>SUMPRODUCT((Teams!$B$5:$B$26=$B41)*Workforce!AH$7:AH$28*Teams!$J$5:$J$26)*Assumptions!$C$17*Assumptions!$C$16</f>
        <v/>
      </c>
      <c r="BV41" s="45">
        <f>SUMPRODUCT((Teams!$B$5:$B$26=$B41)*Workforce!AI$7:AI$28*Teams!$J$5:$J$26)*Assumptions!$C$17*Assumptions!$C$16</f>
        <v/>
      </c>
      <c r="BW41" s="45">
        <f>SUMPRODUCT((Teams!$B$5:$B$26=$B41)*Workforce!AJ$7:AJ$28*Teams!$J$5:$J$26)*Assumptions!$C$17*Assumptions!$C$16</f>
        <v/>
      </c>
      <c r="BX41" s="45">
        <f>SUMPRODUCT((Teams!$B$5:$B$26=$B41)*Workforce!AK$7:AK$28*Teams!$J$5:$J$26)*Assumptions!$C$17*Assumptions!$C$16</f>
        <v/>
      </c>
      <c r="BY41" s="45">
        <f>SUMPRODUCT((Teams!$B$5:$B$26=$B41)*Workforce!AL$7:AL$28*Teams!$J$5:$J$26)*Assumptions!$C$17*Assumptions!$C$16</f>
        <v/>
      </c>
      <c r="BZ41" s="45">
        <f>SUMPRODUCT((Teams!$B$5:$B$26=$B41)*Workforce!AM$7:AM$28*Teams!$J$5:$J$26)*Assumptions!$C$17*Assumptions!$C$16</f>
        <v/>
      </c>
      <c r="CA41" s="45">
        <f>SUMPRODUCT((Teams!$B$5:$B$26=$B41)*Workforce!AN$7:AN$28*Teams!$J$5:$J$26)*Assumptions!$C$17*Assumptions!$C$16</f>
        <v/>
      </c>
    </row>
    <row r="42">
      <c r="B42" s="4" t="inlineStr">
        <is>
          <t>Tarnhow Logistics Ltd</t>
        </is>
      </c>
      <c r="C42" s="4">
        <f>MAX(AP42:CA42)</f>
        <v/>
      </c>
      <c r="D42" s="42">
        <f>ROUND(SUM(AP42:CA42),0)</f>
        <v/>
      </c>
      <c r="E42" s="44">
        <f>IFERROR(D42/SUM($D$30:$D$43),0)</f>
        <v/>
      </c>
      <c r="AP42" s="45">
        <f>SUMPRODUCT((Teams!$B$5:$B$26=$B42)*Workforce!C$7:C$28*Teams!$J$5:$J$26)*Assumptions!$C$17*Assumptions!$C$16</f>
        <v/>
      </c>
      <c r="AQ42" s="45">
        <f>SUMPRODUCT((Teams!$B$5:$B$26=$B42)*Workforce!D$7:D$28*Teams!$J$5:$J$26)*Assumptions!$C$17*Assumptions!$C$16</f>
        <v/>
      </c>
      <c r="AR42" s="45">
        <f>SUMPRODUCT((Teams!$B$5:$B$26=$B42)*Workforce!E$7:E$28*Teams!$J$5:$J$26)*Assumptions!$C$17*Assumptions!$C$16</f>
        <v/>
      </c>
      <c r="AS42" s="45">
        <f>SUMPRODUCT((Teams!$B$5:$B$26=$B42)*Workforce!F$7:F$28*Teams!$J$5:$J$26)*Assumptions!$C$17*Assumptions!$C$16</f>
        <v/>
      </c>
      <c r="AT42" s="45">
        <f>SUMPRODUCT((Teams!$B$5:$B$26=$B42)*Workforce!G$7:G$28*Teams!$J$5:$J$26)*Assumptions!$C$17*Assumptions!$C$16</f>
        <v/>
      </c>
      <c r="AU42" s="45">
        <f>SUMPRODUCT((Teams!$B$5:$B$26=$B42)*Workforce!H$7:H$28*Teams!$J$5:$J$26)*Assumptions!$C$17*Assumptions!$C$16</f>
        <v/>
      </c>
      <c r="AV42" s="45">
        <f>SUMPRODUCT((Teams!$B$5:$B$26=$B42)*Workforce!I$7:I$28*Teams!$J$5:$J$26)*Assumptions!$C$17*Assumptions!$C$16</f>
        <v/>
      </c>
      <c r="AW42" s="45">
        <f>SUMPRODUCT((Teams!$B$5:$B$26=$B42)*Workforce!J$7:J$28*Teams!$J$5:$J$26)*Assumptions!$C$17*Assumptions!$C$16</f>
        <v/>
      </c>
      <c r="AX42" s="45">
        <f>SUMPRODUCT((Teams!$B$5:$B$26=$B42)*Workforce!K$7:K$28*Teams!$J$5:$J$26)*Assumptions!$C$17*Assumptions!$C$16</f>
        <v/>
      </c>
      <c r="AY42" s="45">
        <f>SUMPRODUCT((Teams!$B$5:$B$26=$B42)*Workforce!L$7:L$28*Teams!$J$5:$J$26)*Assumptions!$C$17*Assumptions!$C$16</f>
        <v/>
      </c>
      <c r="AZ42" s="45">
        <f>SUMPRODUCT((Teams!$B$5:$B$26=$B42)*Workforce!M$7:M$28*Teams!$J$5:$J$26)*Assumptions!$C$17*Assumptions!$C$16</f>
        <v/>
      </c>
      <c r="BA42" s="45">
        <f>SUMPRODUCT((Teams!$B$5:$B$26=$B42)*Workforce!N$7:N$28*Teams!$J$5:$J$26)*Assumptions!$C$17*Assumptions!$C$16</f>
        <v/>
      </c>
      <c r="BB42" s="45">
        <f>SUMPRODUCT((Teams!$B$5:$B$26=$B42)*Workforce!O$7:O$28*Teams!$J$5:$J$26)*Assumptions!$C$17*Assumptions!$C$16</f>
        <v/>
      </c>
      <c r="BC42" s="45">
        <f>SUMPRODUCT((Teams!$B$5:$B$26=$B42)*Workforce!P$7:P$28*Teams!$J$5:$J$26)*Assumptions!$C$17*Assumptions!$C$16</f>
        <v/>
      </c>
      <c r="BD42" s="45">
        <f>SUMPRODUCT((Teams!$B$5:$B$26=$B42)*Workforce!Q$7:Q$28*Teams!$J$5:$J$26)*Assumptions!$C$17*Assumptions!$C$16</f>
        <v/>
      </c>
      <c r="BE42" s="45">
        <f>SUMPRODUCT((Teams!$B$5:$B$26=$B42)*Workforce!R$7:R$28*Teams!$J$5:$J$26)*Assumptions!$C$17*Assumptions!$C$16</f>
        <v/>
      </c>
      <c r="BF42" s="45">
        <f>SUMPRODUCT((Teams!$B$5:$B$26=$B42)*Workforce!S$7:S$28*Teams!$J$5:$J$26)*Assumptions!$C$17*Assumptions!$C$16</f>
        <v/>
      </c>
      <c r="BG42" s="45">
        <f>SUMPRODUCT((Teams!$B$5:$B$26=$B42)*Workforce!T$7:T$28*Teams!$J$5:$J$26)*Assumptions!$C$17*Assumptions!$C$16</f>
        <v/>
      </c>
      <c r="BH42" s="45">
        <f>SUMPRODUCT((Teams!$B$5:$B$26=$B42)*Workforce!U$7:U$28*Teams!$J$5:$J$26)*Assumptions!$C$17*Assumptions!$C$16</f>
        <v/>
      </c>
      <c r="BI42" s="45">
        <f>SUMPRODUCT((Teams!$B$5:$B$26=$B42)*Workforce!V$7:V$28*Teams!$J$5:$J$26)*Assumptions!$C$17*Assumptions!$C$16</f>
        <v/>
      </c>
      <c r="BJ42" s="45">
        <f>SUMPRODUCT((Teams!$B$5:$B$26=$B42)*Workforce!W$7:W$28*Teams!$J$5:$J$26)*Assumptions!$C$17*Assumptions!$C$16</f>
        <v/>
      </c>
      <c r="BK42" s="45">
        <f>SUMPRODUCT((Teams!$B$5:$B$26=$B42)*Workforce!X$7:X$28*Teams!$J$5:$J$26)*Assumptions!$C$17*Assumptions!$C$16</f>
        <v/>
      </c>
      <c r="BL42" s="45">
        <f>SUMPRODUCT((Teams!$B$5:$B$26=$B42)*Workforce!Y$7:Y$28*Teams!$J$5:$J$26)*Assumptions!$C$17*Assumptions!$C$16</f>
        <v/>
      </c>
      <c r="BM42" s="45">
        <f>SUMPRODUCT((Teams!$B$5:$B$26=$B42)*Workforce!Z$7:Z$28*Teams!$J$5:$J$26)*Assumptions!$C$17*Assumptions!$C$16</f>
        <v/>
      </c>
      <c r="BN42" s="45">
        <f>SUMPRODUCT((Teams!$B$5:$B$26=$B42)*Workforce!AA$7:AA$28*Teams!$J$5:$J$26)*Assumptions!$C$17*Assumptions!$C$16</f>
        <v/>
      </c>
      <c r="BO42" s="45">
        <f>SUMPRODUCT((Teams!$B$5:$B$26=$B42)*Workforce!AB$7:AB$28*Teams!$J$5:$J$26)*Assumptions!$C$17*Assumptions!$C$16</f>
        <v/>
      </c>
      <c r="BP42" s="45">
        <f>SUMPRODUCT((Teams!$B$5:$B$26=$B42)*Workforce!AC$7:AC$28*Teams!$J$5:$J$26)*Assumptions!$C$17*Assumptions!$C$16</f>
        <v/>
      </c>
      <c r="BQ42" s="45">
        <f>SUMPRODUCT((Teams!$B$5:$B$26=$B42)*Workforce!AD$7:AD$28*Teams!$J$5:$J$26)*Assumptions!$C$17*Assumptions!$C$16</f>
        <v/>
      </c>
      <c r="BR42" s="45">
        <f>SUMPRODUCT((Teams!$B$5:$B$26=$B42)*Workforce!AE$7:AE$28*Teams!$J$5:$J$26)*Assumptions!$C$17*Assumptions!$C$16</f>
        <v/>
      </c>
      <c r="BS42" s="45">
        <f>SUMPRODUCT((Teams!$B$5:$B$26=$B42)*Workforce!AF$7:AF$28*Teams!$J$5:$J$26)*Assumptions!$C$17*Assumptions!$C$16</f>
        <v/>
      </c>
      <c r="BT42" s="45">
        <f>SUMPRODUCT((Teams!$B$5:$B$26=$B42)*Workforce!AG$7:AG$28*Teams!$J$5:$J$26)*Assumptions!$C$17*Assumptions!$C$16</f>
        <v/>
      </c>
      <c r="BU42" s="45">
        <f>SUMPRODUCT((Teams!$B$5:$B$26=$B42)*Workforce!AH$7:AH$28*Teams!$J$5:$J$26)*Assumptions!$C$17*Assumptions!$C$16</f>
        <v/>
      </c>
      <c r="BV42" s="45">
        <f>SUMPRODUCT((Teams!$B$5:$B$26=$B42)*Workforce!AI$7:AI$28*Teams!$J$5:$J$26)*Assumptions!$C$17*Assumptions!$C$16</f>
        <v/>
      </c>
      <c r="BW42" s="45">
        <f>SUMPRODUCT((Teams!$B$5:$B$26=$B42)*Workforce!AJ$7:AJ$28*Teams!$J$5:$J$26)*Assumptions!$C$17*Assumptions!$C$16</f>
        <v/>
      </c>
      <c r="BX42" s="45">
        <f>SUMPRODUCT((Teams!$B$5:$B$26=$B42)*Workforce!AK$7:AK$28*Teams!$J$5:$J$26)*Assumptions!$C$17*Assumptions!$C$16</f>
        <v/>
      </c>
      <c r="BY42" s="45">
        <f>SUMPRODUCT((Teams!$B$5:$B$26=$B42)*Workforce!AL$7:AL$28*Teams!$J$5:$J$26)*Assumptions!$C$17*Assumptions!$C$16</f>
        <v/>
      </c>
      <c r="BZ42" s="45">
        <f>SUMPRODUCT((Teams!$B$5:$B$26=$B42)*Workforce!AM$7:AM$28*Teams!$J$5:$J$26)*Assumptions!$C$17*Assumptions!$C$16</f>
        <v/>
      </c>
      <c r="CA42" s="45">
        <f>SUMPRODUCT((Teams!$B$5:$B$26=$B42)*Workforce!AN$7:AN$28*Teams!$J$5:$J$26)*Assumptions!$C$17*Assumptions!$C$16</f>
        <v/>
      </c>
    </row>
    <row r="43">
      <c r="B43" s="4" t="inlineStr">
        <is>
          <t>Vellamo Power Systems Ltd</t>
        </is>
      </c>
      <c r="C43" s="4">
        <f>MAX(AP43:CA43)</f>
        <v/>
      </c>
      <c r="D43" s="42">
        <f>ROUND(SUM(AP43:CA43),0)</f>
        <v/>
      </c>
      <c r="E43" s="44">
        <f>IFERROR(D43/SUM($D$30:$D$43),0)</f>
        <v/>
      </c>
      <c r="AP43" s="45">
        <f>SUMPRODUCT((Teams!$B$5:$B$26=$B43)*Workforce!C$7:C$28*Teams!$J$5:$J$26)*Assumptions!$C$17*Assumptions!$C$16</f>
        <v/>
      </c>
      <c r="AQ43" s="45">
        <f>SUMPRODUCT((Teams!$B$5:$B$26=$B43)*Workforce!D$7:D$28*Teams!$J$5:$J$26)*Assumptions!$C$17*Assumptions!$C$16</f>
        <v/>
      </c>
      <c r="AR43" s="45">
        <f>SUMPRODUCT((Teams!$B$5:$B$26=$B43)*Workforce!E$7:E$28*Teams!$J$5:$J$26)*Assumptions!$C$17*Assumptions!$C$16</f>
        <v/>
      </c>
      <c r="AS43" s="45">
        <f>SUMPRODUCT((Teams!$B$5:$B$26=$B43)*Workforce!F$7:F$28*Teams!$J$5:$J$26)*Assumptions!$C$17*Assumptions!$C$16</f>
        <v/>
      </c>
      <c r="AT43" s="45">
        <f>SUMPRODUCT((Teams!$B$5:$B$26=$B43)*Workforce!G$7:G$28*Teams!$J$5:$J$26)*Assumptions!$C$17*Assumptions!$C$16</f>
        <v/>
      </c>
      <c r="AU43" s="45">
        <f>SUMPRODUCT((Teams!$B$5:$B$26=$B43)*Workforce!H$7:H$28*Teams!$J$5:$J$26)*Assumptions!$C$17*Assumptions!$C$16</f>
        <v/>
      </c>
      <c r="AV43" s="45">
        <f>SUMPRODUCT((Teams!$B$5:$B$26=$B43)*Workforce!I$7:I$28*Teams!$J$5:$J$26)*Assumptions!$C$17*Assumptions!$C$16</f>
        <v/>
      </c>
      <c r="AW43" s="45">
        <f>SUMPRODUCT((Teams!$B$5:$B$26=$B43)*Workforce!J$7:J$28*Teams!$J$5:$J$26)*Assumptions!$C$17*Assumptions!$C$16</f>
        <v/>
      </c>
      <c r="AX43" s="45">
        <f>SUMPRODUCT((Teams!$B$5:$B$26=$B43)*Workforce!K$7:K$28*Teams!$J$5:$J$26)*Assumptions!$C$17*Assumptions!$C$16</f>
        <v/>
      </c>
      <c r="AY43" s="45">
        <f>SUMPRODUCT((Teams!$B$5:$B$26=$B43)*Workforce!L$7:L$28*Teams!$J$5:$J$26)*Assumptions!$C$17*Assumptions!$C$16</f>
        <v/>
      </c>
      <c r="AZ43" s="45">
        <f>SUMPRODUCT((Teams!$B$5:$B$26=$B43)*Workforce!M$7:M$28*Teams!$J$5:$J$26)*Assumptions!$C$17*Assumptions!$C$16</f>
        <v/>
      </c>
      <c r="BA43" s="45">
        <f>SUMPRODUCT((Teams!$B$5:$B$26=$B43)*Workforce!N$7:N$28*Teams!$J$5:$J$26)*Assumptions!$C$17*Assumptions!$C$16</f>
        <v/>
      </c>
      <c r="BB43" s="45">
        <f>SUMPRODUCT((Teams!$B$5:$B$26=$B43)*Workforce!O$7:O$28*Teams!$J$5:$J$26)*Assumptions!$C$17*Assumptions!$C$16</f>
        <v/>
      </c>
      <c r="BC43" s="45">
        <f>SUMPRODUCT((Teams!$B$5:$B$26=$B43)*Workforce!P$7:P$28*Teams!$J$5:$J$26)*Assumptions!$C$17*Assumptions!$C$16</f>
        <v/>
      </c>
      <c r="BD43" s="45">
        <f>SUMPRODUCT((Teams!$B$5:$B$26=$B43)*Workforce!Q$7:Q$28*Teams!$J$5:$J$26)*Assumptions!$C$17*Assumptions!$C$16</f>
        <v/>
      </c>
      <c r="BE43" s="45">
        <f>SUMPRODUCT((Teams!$B$5:$B$26=$B43)*Workforce!R$7:R$28*Teams!$J$5:$J$26)*Assumptions!$C$17*Assumptions!$C$16</f>
        <v/>
      </c>
      <c r="BF43" s="45">
        <f>SUMPRODUCT((Teams!$B$5:$B$26=$B43)*Workforce!S$7:S$28*Teams!$J$5:$J$26)*Assumptions!$C$17*Assumptions!$C$16</f>
        <v/>
      </c>
      <c r="BG43" s="45">
        <f>SUMPRODUCT((Teams!$B$5:$B$26=$B43)*Workforce!T$7:T$28*Teams!$J$5:$J$26)*Assumptions!$C$17*Assumptions!$C$16</f>
        <v/>
      </c>
      <c r="BH43" s="45">
        <f>SUMPRODUCT((Teams!$B$5:$B$26=$B43)*Workforce!U$7:U$28*Teams!$J$5:$J$26)*Assumptions!$C$17*Assumptions!$C$16</f>
        <v/>
      </c>
      <c r="BI43" s="45">
        <f>SUMPRODUCT((Teams!$B$5:$B$26=$B43)*Workforce!V$7:V$28*Teams!$J$5:$J$26)*Assumptions!$C$17*Assumptions!$C$16</f>
        <v/>
      </c>
      <c r="BJ43" s="45">
        <f>SUMPRODUCT((Teams!$B$5:$B$26=$B43)*Workforce!W$7:W$28*Teams!$J$5:$J$26)*Assumptions!$C$17*Assumptions!$C$16</f>
        <v/>
      </c>
      <c r="BK43" s="45">
        <f>SUMPRODUCT((Teams!$B$5:$B$26=$B43)*Workforce!X$7:X$28*Teams!$J$5:$J$26)*Assumptions!$C$17*Assumptions!$C$16</f>
        <v/>
      </c>
      <c r="BL43" s="45">
        <f>SUMPRODUCT((Teams!$B$5:$B$26=$B43)*Workforce!Y$7:Y$28*Teams!$J$5:$J$26)*Assumptions!$C$17*Assumptions!$C$16</f>
        <v/>
      </c>
      <c r="BM43" s="45">
        <f>SUMPRODUCT((Teams!$B$5:$B$26=$B43)*Workforce!Z$7:Z$28*Teams!$J$5:$J$26)*Assumptions!$C$17*Assumptions!$C$16</f>
        <v/>
      </c>
      <c r="BN43" s="45">
        <f>SUMPRODUCT((Teams!$B$5:$B$26=$B43)*Workforce!AA$7:AA$28*Teams!$J$5:$J$26)*Assumptions!$C$17*Assumptions!$C$16</f>
        <v/>
      </c>
      <c r="BO43" s="45">
        <f>SUMPRODUCT((Teams!$B$5:$B$26=$B43)*Workforce!AB$7:AB$28*Teams!$J$5:$J$26)*Assumptions!$C$17*Assumptions!$C$16</f>
        <v/>
      </c>
      <c r="BP43" s="45">
        <f>SUMPRODUCT((Teams!$B$5:$B$26=$B43)*Workforce!AC$7:AC$28*Teams!$J$5:$J$26)*Assumptions!$C$17*Assumptions!$C$16</f>
        <v/>
      </c>
      <c r="BQ43" s="45">
        <f>SUMPRODUCT((Teams!$B$5:$B$26=$B43)*Workforce!AD$7:AD$28*Teams!$J$5:$J$26)*Assumptions!$C$17*Assumptions!$C$16</f>
        <v/>
      </c>
      <c r="BR43" s="45">
        <f>SUMPRODUCT((Teams!$B$5:$B$26=$B43)*Workforce!AE$7:AE$28*Teams!$J$5:$J$26)*Assumptions!$C$17*Assumptions!$C$16</f>
        <v/>
      </c>
      <c r="BS43" s="45">
        <f>SUMPRODUCT((Teams!$B$5:$B$26=$B43)*Workforce!AF$7:AF$28*Teams!$J$5:$J$26)*Assumptions!$C$17*Assumptions!$C$16</f>
        <v/>
      </c>
      <c r="BT43" s="45">
        <f>SUMPRODUCT((Teams!$B$5:$B$26=$B43)*Workforce!AG$7:AG$28*Teams!$J$5:$J$26)*Assumptions!$C$17*Assumptions!$C$16</f>
        <v/>
      </c>
      <c r="BU43" s="45">
        <f>SUMPRODUCT((Teams!$B$5:$B$26=$B43)*Workforce!AH$7:AH$28*Teams!$J$5:$J$26)*Assumptions!$C$17*Assumptions!$C$16</f>
        <v/>
      </c>
      <c r="BV43" s="45">
        <f>SUMPRODUCT((Teams!$B$5:$B$26=$B43)*Workforce!AI$7:AI$28*Teams!$J$5:$J$26)*Assumptions!$C$17*Assumptions!$C$16</f>
        <v/>
      </c>
      <c r="BW43" s="45">
        <f>SUMPRODUCT((Teams!$B$5:$B$26=$B43)*Workforce!AJ$7:AJ$28*Teams!$J$5:$J$26)*Assumptions!$C$17*Assumptions!$C$16</f>
        <v/>
      </c>
      <c r="BX43" s="45">
        <f>SUMPRODUCT((Teams!$B$5:$B$26=$B43)*Workforce!AK$7:AK$28*Teams!$J$5:$J$26)*Assumptions!$C$17*Assumptions!$C$16</f>
        <v/>
      </c>
      <c r="BY43" s="45">
        <f>SUMPRODUCT((Teams!$B$5:$B$26=$B43)*Workforce!AL$7:AL$28*Teams!$J$5:$J$26)*Assumptions!$C$17*Assumptions!$C$16</f>
        <v/>
      </c>
      <c r="BZ43" s="45">
        <f>SUMPRODUCT((Teams!$B$5:$B$26=$B43)*Workforce!AM$7:AM$28*Teams!$J$5:$J$26)*Assumptions!$C$17*Assumptions!$C$16</f>
        <v/>
      </c>
      <c r="CA43" s="45">
        <f>SUMPRODUCT((Teams!$B$5:$B$26=$B43)*Workforce!AN$7:AN$28*Teams!$J$5:$J$26)*Assumptions!$C$17*Assumptions!$C$16</f>
        <v/>
      </c>
    </row>
    <row r="44">
      <c r="B44" s="6" t="inlineStr">
        <is>
          <t>TOTAL</t>
        </is>
      </c>
      <c r="D44" s="46">
        <f>SUM(D30:D43)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E28"/>
  <sheetViews>
    <sheetView showGridLines="0" workbookViewId="0">
      <selection activeCell="A1" sqref="A1"/>
    </sheetView>
  </sheetViews>
  <sheetFormatPr baseColWidth="8" defaultRowHeight="15"/>
  <cols>
    <col width="4" customWidth="1" min="1" max="1"/>
    <col width="46" customWidth="1" min="2" max="2"/>
    <col width="13" customWidth="1" min="3" max="3"/>
    <col width="12" customWidth="1" min="4" max="4"/>
    <col width="66" customWidth="1" min="5" max="5"/>
    <col width="2" customWidth="1" min="6" max="6"/>
  </cols>
  <sheetData>
    <row r="2">
      <c r="B2" s="1" t="inlineStr">
        <is>
          <t>ACCOMMODATION SCHEDULE — WHAT GETS BUILT</t>
        </is>
      </c>
    </row>
    <row r="3">
      <c r="B3" s="3" t="inlineStr">
        <is>
          <t>Sized to the peak from BedDemand. Room mix, block count, floor area and land take.</t>
        </is>
      </c>
    </row>
    <row r="5">
      <c r="A5" s="10" t="inlineStr"/>
      <c r="B5" s="10" t="inlineStr">
        <is>
          <t>Item</t>
        </is>
      </c>
      <c r="C5" s="10" t="inlineStr">
        <is>
          <t>Quantity</t>
        </is>
      </c>
      <c r="D5" s="10" t="inlineStr">
        <is>
          <t>Unit</t>
        </is>
      </c>
      <c r="E5" s="10" t="inlineStr">
        <is>
          <t>How it is derived — and what to verify</t>
        </is>
      </c>
    </row>
    <row r="6">
      <c r="A6" s="12" t="inlineStr">
        <is>
          <t>ROOM SCHEDULE</t>
        </is>
      </c>
    </row>
    <row r="7">
      <c r="B7" s="48" t="inlineStr">
        <is>
          <t>Peak rooms required (from BedDemand)</t>
        </is>
      </c>
      <c r="C7" s="49">
        <f>BedDemand!$C$20</f>
        <v/>
      </c>
      <c r="D7" s="15" t="inlineStr">
        <is>
          <t>rooms</t>
        </is>
      </c>
      <c r="E7" s="16" t="inlineStr">
        <is>
          <t>The village is built to this number, not to the average.</t>
        </is>
      </c>
    </row>
    <row r="8" ht="24" customHeight="1">
      <c r="B8" s="13" t="inlineStr">
        <is>
          <t>Accessible rooms</t>
        </is>
      </c>
      <c r="C8" s="50">
        <f>ROUNDUP(C7*Assumptions!$C$21,0)</f>
        <v/>
      </c>
      <c r="D8" s="15" t="inlineStr">
        <is>
          <t>rooms</t>
        </is>
      </c>
      <c r="E8" s="16" t="inlineStr">
        <is>
          <t>Level access, accessible shower room, turning circle. Confirm the required proportion with Building Control — the percentage on Assumptions is a placeholder, not a standard.</t>
        </is>
      </c>
    </row>
    <row r="9">
      <c r="B9" s="13" t="inlineStr">
        <is>
          <t>Senior / manager rooms</t>
        </is>
      </c>
      <c r="C9" s="50">
        <f>ROUNDUP(C7*Assumptions!$C$22,0)</f>
        <v/>
      </c>
      <c r="D9" s="15" t="inlineStr">
        <is>
          <t>rooms</t>
        </is>
      </c>
      <c r="E9" s="16" t="inlineStr">
        <is>
          <t>A commercial choice, not a requirement.</t>
        </is>
      </c>
    </row>
    <row r="10">
      <c r="B10" s="13" t="inlineStr">
        <is>
          <t>Standard single ensuite rooms</t>
        </is>
      </c>
      <c r="C10" s="50">
        <f>C7-C8-C9</f>
        <v/>
      </c>
      <c r="D10" s="15" t="inlineStr">
        <is>
          <t>rooms</t>
        </is>
      </c>
      <c r="E10" s="16" t="inlineStr">
        <is>
          <t>The balance.</t>
        </is>
      </c>
    </row>
    <row r="11" ht="24" customHeight="1">
      <c r="B11" s="13" t="inlineStr">
        <is>
          <t xml:space="preserve">  of which allocated to women</t>
        </is>
      </c>
      <c r="C11" s="50">
        <f>ROUNDUP(C10*Assumptions!$C$20,0)</f>
        <v/>
      </c>
      <c r="D11" s="15" t="inlineStr">
        <is>
          <t>rooms</t>
        </is>
      </c>
      <c r="E11" s="16" t="inlineStr">
        <is>
          <t>Drives a separate lockable block or floor with its own entrance, not simply a count of rooms. Set the percentage from your own workforce data.</t>
        </is>
      </c>
    </row>
    <row r="12">
      <c r="B12" s="48" t="inlineStr">
        <is>
          <t>TOTAL ROOMS</t>
        </is>
      </c>
      <c r="C12" s="49">
        <f>C8+C9+C10</f>
        <v/>
      </c>
      <c r="D12" s="15" t="inlineStr">
        <is>
          <t>rooms</t>
        </is>
      </c>
      <c r="E12" s="16" t="inlineStr"/>
    </row>
    <row r="14">
      <c r="A14" s="12" t="inlineStr">
        <is>
          <t>BLOCKS AND FLOOR AREA</t>
        </is>
      </c>
    </row>
    <row r="15">
      <c r="B15" s="13" t="inlineStr">
        <is>
          <t>Accommodation blocks</t>
        </is>
      </c>
      <c r="C15" s="50">
        <f>ROUNDUP(C12/Assumptions!$C$29,0)</f>
        <v/>
      </c>
      <c r="D15" s="15" t="inlineStr">
        <is>
          <t>blocks</t>
        </is>
      </c>
      <c r="E15" s="16" t="inlineStr">
        <is>
          <t>At the module size on Assumptions. Round up — a part block is a whole block.</t>
        </is>
      </c>
    </row>
    <row r="16">
      <c r="B16" s="13" t="inlineStr">
        <is>
          <t>Net room area</t>
        </is>
      </c>
      <c r="C16" s="51">
        <f>C10*Assumptions!$C$26+C8*Assumptions!$C$27+C9*Assumptions!$C$28</f>
        <v/>
      </c>
      <c r="D16" s="15" t="inlineStr">
        <is>
          <t>m²</t>
        </is>
      </c>
      <c r="E16" s="16" t="inlineStr">
        <is>
          <t>Rooms only, before corridors and plant.</t>
        </is>
      </c>
    </row>
    <row r="17" ht="24" customHeight="1">
      <c r="B17" s="13" t="inlineStr">
        <is>
          <t>Gross accommodation area</t>
        </is>
      </c>
      <c r="C17" s="51">
        <f>C16*Assumptions!$C$30</f>
        <v/>
      </c>
      <c r="D17" s="15" t="inlineStr">
        <is>
          <t>m²</t>
        </is>
      </c>
      <c r="E17" s="16" t="inlineStr">
        <is>
          <t>Corridors, stairs, risers and plant included. The gross-up factor should come from the supplier's actual block layout.</t>
        </is>
      </c>
    </row>
    <row r="19">
      <c r="A19" s="12" t="inlineStr">
        <is>
          <t>LAND TAKE</t>
        </is>
      </c>
    </row>
    <row r="20">
      <c r="B20" s="13" t="inlineStr">
        <is>
          <t>Accommodation footprint (two storey)</t>
        </is>
      </c>
      <c r="C20" s="51">
        <f>C17/2</f>
        <v/>
      </c>
      <c r="D20" s="15" t="inlineStr">
        <is>
          <t>m²</t>
        </is>
      </c>
      <c r="E20" s="16" t="inlineStr">
        <is>
          <t>Assumes two-storey blocks. Single storey doubles this.</t>
        </is>
      </c>
    </row>
    <row r="21" ht="24" customHeight="1">
      <c r="B21" s="13" t="inlineStr">
        <is>
          <t>External works, roads, parking, standoff</t>
        </is>
      </c>
      <c r="C21" s="51">
        <f>C12*Assumptions!$C$31</f>
        <v/>
      </c>
      <c r="D21" s="15" t="inlineStr">
        <is>
          <t>m²</t>
        </is>
      </c>
      <c r="E21" s="16" t="inlineStr">
        <is>
          <t>Roads, footpaths, parking, drainage, landscaping, and separation between blocks for fire and privacy.</t>
        </is>
      </c>
    </row>
    <row r="22">
      <c r="B22" s="13" t="inlineStr">
        <is>
          <t>Amenity and facilities footprint</t>
        </is>
      </c>
      <c r="C22" s="51">
        <f>Facilities!$C$29</f>
        <v/>
      </c>
      <c r="D22" s="15" t="inlineStr">
        <is>
          <t>m²</t>
        </is>
      </c>
      <c r="E22" s="16" t="inlineStr">
        <is>
          <t>From the facilities schedule.</t>
        </is>
      </c>
    </row>
    <row r="23">
      <c r="B23" s="48" t="inlineStr">
        <is>
          <t>TOTAL SITE AREA REQUIRED</t>
        </is>
      </c>
      <c r="C23" s="52">
        <f>C20+C21+C22</f>
        <v/>
      </c>
      <c r="D23" s="15" t="inlineStr">
        <is>
          <t>m²</t>
        </is>
      </c>
      <c r="E23" s="16" t="inlineStr"/>
    </row>
    <row r="24" ht="24" customHeight="1">
      <c r="B24" s="48" t="inlineStr">
        <is>
          <t xml:space="preserve">  in hectares</t>
        </is>
      </c>
      <c r="C24" s="53">
        <f>C23/10000</f>
        <v/>
      </c>
      <c r="D24" s="15" t="inlineStr">
        <is>
          <t>ha</t>
        </is>
      </c>
      <c r="E24" s="16" t="inlineStr">
        <is>
          <t>Test this against the land you actually have before anything else on this sheet matters.</t>
        </is>
      </c>
    </row>
    <row r="26">
      <c r="A26" s="12" t="inlineStr">
        <is>
          <t>SANITY CHECKS</t>
        </is>
      </c>
    </row>
    <row r="27" ht="24" customHeight="1">
      <c r="B27" s="13" t="inlineStr">
        <is>
          <t>Rooms per resident at peak</t>
        </is>
      </c>
      <c r="C27" s="54">
        <f>IFERROR(C12/BedDemand!$C$22,0)</f>
        <v/>
      </c>
      <c r="D27" s="15" t="inlineStr">
        <is>
          <t>×</t>
        </is>
      </c>
      <c r="E27" s="16" t="inlineStr">
        <is>
          <t>A little above 1.0 is right. Well above means the void and contingency allowances are generous.</t>
        </is>
      </c>
    </row>
    <row r="28" ht="24" customHeight="1">
      <c r="B28" s="13" t="inlineStr">
        <is>
          <t>Gross area per bed</t>
        </is>
      </c>
      <c r="C28" s="55">
        <f>IFERROR(C17/C12,0)</f>
        <v/>
      </c>
      <c r="D28" s="15" t="inlineStr">
        <is>
          <t>m²/bed</t>
        </is>
      </c>
      <c r="E28" s="16" t="inlineStr">
        <is>
          <t>Typically 14–18 m² gross for a modular village. Outside that, check the gross-up factor.</t>
        </is>
      </c>
    </row>
  </sheetData>
  <mergeCells count="4">
    <mergeCell ref="A6:E6"/>
    <mergeCell ref="A19:E19"/>
    <mergeCell ref="A26:E26"/>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E34"/>
  <sheetViews>
    <sheetView showGridLines="0" workbookViewId="0">
      <selection activeCell="A1" sqref="A1"/>
    </sheetView>
  </sheetViews>
  <sheetFormatPr baseColWidth="8" defaultRowHeight="15"/>
  <cols>
    <col width="4" customWidth="1" min="1" max="1"/>
    <col width="46" customWidth="1" min="2" max="2"/>
    <col width="13" customWidth="1" min="3" max="3"/>
    <col width="12" customWidth="1" min="4" max="4"/>
    <col width="66" customWidth="1" min="5" max="5"/>
    <col width="2" customWidth="1" min="6" max="6"/>
  </cols>
  <sheetData>
    <row r="2">
      <c r="B2" s="1" t="inlineStr">
        <is>
          <t>FACILITIES SCHEDULE — WHAT THE VILLAGE NEEDS TO WORK</t>
        </is>
      </c>
    </row>
    <row r="3">
      <c r="B3" s="3" t="inlineStr">
        <is>
          <t>Sized to peak occupancy. Every ratio sits on Assumptions, and every one is a first-pass planning figure.</t>
        </is>
      </c>
    </row>
    <row r="5">
      <c r="A5" s="10" t="inlineStr"/>
      <c r="B5" s="10" t="inlineStr">
        <is>
          <t>Item</t>
        </is>
      </c>
      <c r="C5" s="10" t="inlineStr">
        <is>
          <t>Quantity</t>
        </is>
      </c>
      <c r="D5" s="10" t="inlineStr">
        <is>
          <t>Unit</t>
        </is>
      </c>
      <c r="E5" s="10" t="inlineStr">
        <is>
          <t>How it is derived — and what to verify</t>
        </is>
      </c>
    </row>
    <row r="6">
      <c r="A6" s="12" t="inlineStr">
        <is>
          <t>CATERING</t>
        </is>
      </c>
    </row>
    <row r="7">
      <c r="B7" s="48" t="inlineStr">
        <is>
          <t>Peak residents</t>
        </is>
      </c>
      <c r="C7" s="49">
        <f>BedDemand!$C$22</f>
        <v/>
      </c>
      <c r="D7" s="15" t="inlineStr">
        <is>
          <t>people</t>
        </is>
      </c>
      <c r="E7" s="16" t="inlineStr"/>
    </row>
    <row r="8">
      <c r="B8" s="13" t="inlineStr">
        <is>
          <t>Breakfast covers required</t>
        </is>
      </c>
      <c r="C8" s="50">
        <f>ROUNDUP(C7*Assumptions!$C$34/Assumptions!$C$37,0)</f>
        <v/>
      </c>
      <c r="D8" s="15" t="inlineStr">
        <is>
          <t>covers</t>
        </is>
      </c>
      <c r="E8" s="16" t="inlineStr">
        <is>
          <t>Residents taking breakfast, divided by sittings.</t>
        </is>
      </c>
    </row>
    <row r="9">
      <c r="B9" s="13" t="inlineStr">
        <is>
          <t>Evening meal covers required</t>
        </is>
      </c>
      <c r="C9" s="50">
        <f>ROUNDUP(C7*Assumptions!$C$35/Assumptions!$C$37,0)</f>
        <v/>
      </c>
      <c r="D9" s="15" t="inlineStr">
        <is>
          <t>covers</t>
        </is>
      </c>
      <c r="E9" s="16" t="inlineStr">
        <is>
          <t>Usually the binding case — everyone is back at once.</t>
        </is>
      </c>
    </row>
    <row r="10">
      <c r="B10" s="48" t="inlineStr">
        <is>
          <t>DINING ROOM COVERS (design case)</t>
        </is>
      </c>
      <c r="C10" s="49">
        <f>MAX(C8,C9)</f>
        <v/>
      </c>
      <c r="D10" s="15" t="inlineStr">
        <is>
          <t>covers</t>
        </is>
      </c>
      <c r="E10" s="16" t="inlineStr">
        <is>
          <t>Size the room to the larger of the two.</t>
        </is>
      </c>
    </row>
    <row r="11">
      <c r="B11" s="13" t="inlineStr">
        <is>
          <t>Dining room area</t>
        </is>
      </c>
      <c r="C11" s="51">
        <f>C10*Assumptions!$C$38</f>
        <v/>
      </c>
      <c r="D11" s="15" t="inlineStr">
        <is>
          <t>m²</t>
        </is>
      </c>
      <c r="E11" s="16" t="inlineStr"/>
    </row>
    <row r="12">
      <c r="B12" s="13" t="inlineStr">
        <is>
          <t>Kitchen, servery, stores and wash-up</t>
        </is>
      </c>
      <c r="C12" s="51">
        <f>C10*Assumptions!$C$39</f>
        <v/>
      </c>
      <c r="D12" s="15" t="inlineStr">
        <is>
          <t>m²</t>
        </is>
      </c>
      <c r="E12" s="16" t="inlineStr">
        <is>
          <t>To verify with the caterer against their menu and delivery cycle.</t>
        </is>
      </c>
    </row>
    <row r="13" ht="24" customHeight="1">
      <c r="B13" s="13" t="inlineStr">
        <is>
          <t>Packed lunches per day</t>
        </is>
      </c>
      <c r="C13" s="50">
        <f>ROUNDUP(C7*Assumptions!$C$36,0)</f>
        <v/>
      </c>
      <c r="D13" s="15" t="inlineStr">
        <is>
          <t>no.</t>
        </is>
      </c>
      <c r="E13" s="16" t="inlineStr">
        <is>
          <t>Made in the same kitchen overnight — no covers, but real labour and real cold storage.</t>
        </is>
      </c>
    </row>
    <row r="14">
      <c r="B14" s="13" t="inlineStr">
        <is>
          <t>Meals served per day (all sittings)</t>
        </is>
      </c>
      <c r="C14" s="51">
        <f>ROUNDUP(C7*(Assumptions!$C$34+Assumptions!$C$35),0)</f>
        <v/>
      </c>
      <c r="D14" s="15" t="inlineStr">
        <is>
          <t>meals</t>
        </is>
      </c>
      <c r="E14" s="16" t="inlineStr">
        <is>
          <t>Drives the catering line on Opex.</t>
        </is>
      </c>
    </row>
    <row r="16">
      <c r="A16" s="12" t="inlineStr">
        <is>
          <t>LAUNDRY, DRYING AND HOUSEKEEPING</t>
        </is>
      </c>
    </row>
    <row r="17" ht="24" customHeight="1">
      <c r="B17" s="13" t="inlineStr">
        <is>
          <t>Washing machines</t>
        </is>
      </c>
      <c r="C17" s="50">
        <f>ROUNDUP(C7/Assumptions!$C$42,0)</f>
        <v/>
      </c>
      <c r="D17" s="15" t="inlineStr">
        <is>
          <t>no.</t>
        </is>
      </c>
      <c r="E17" s="16" t="inlineStr">
        <is>
          <t>Self-service. Fewer if bed linen is contracted out — personal laundry still has to happen somewhere.</t>
        </is>
      </c>
    </row>
    <row r="18">
      <c r="B18" s="13" t="inlineStr">
        <is>
          <t>Tumble dryers</t>
        </is>
      </c>
      <c r="C18" s="50">
        <f>ROUNDUP(C7/Assumptions!$C$43,0)</f>
        <v/>
      </c>
      <c r="D18" s="15" t="inlineStr">
        <is>
          <t>no.</t>
        </is>
      </c>
      <c r="E18" s="16" t="inlineStr"/>
    </row>
    <row r="19" ht="24" customHeight="1">
      <c r="B19" s="13" t="inlineStr">
        <is>
          <t>Drying rooms for wet PPE and boots</t>
        </is>
      </c>
      <c r="C19" s="50">
        <f>ROUNDUP(C7/100*Assumptions!$C$44,0)</f>
        <v/>
      </c>
      <c r="D19" s="15" t="inlineStr">
        <is>
          <t>rooms</t>
        </is>
      </c>
      <c r="E19" s="16" t="inlineStr">
        <is>
          <t>Separate from the laundry. On a wet site this is the difference between dry boots and a dispute.</t>
        </is>
      </c>
    </row>
    <row r="20" ht="24" customHeight="1">
      <c r="B20" s="13" t="inlineStr">
        <is>
          <t>Laundry and drying area</t>
        </is>
      </c>
      <c r="C20" s="51">
        <f>C17*3.5+C18*2.5+C19*24</f>
        <v/>
      </c>
      <c r="D20" s="15" t="inlineStr">
        <is>
          <t>m²</t>
        </is>
      </c>
      <c r="E20" s="16" t="inlineStr">
        <is>
          <t>Machine footprint plus circulation, plus the drying rooms. To verify against equipment schedules.</t>
        </is>
      </c>
    </row>
    <row r="21">
      <c r="B21" s="13" t="inlineStr">
        <is>
          <t>Rooms cleaned per day</t>
        </is>
      </c>
      <c r="C21" s="50">
        <f>ROUNDUP(BedDemand!$C$20/7*Assumptions!$C$46,0)</f>
        <v/>
      </c>
      <c r="D21" s="15" t="inlineStr">
        <is>
          <t>rooms</t>
        </is>
      </c>
      <c r="E21" s="16" t="inlineStr">
        <is>
          <t>Full clean and linen change at the frequency on Assumptions, spread across the week.</t>
        </is>
      </c>
    </row>
    <row r="23">
      <c r="A23" s="12" t="inlineStr">
        <is>
          <t>SOCIAL, WELFARE AND SUPPORT</t>
        </is>
      </c>
    </row>
    <row r="24" ht="24" customHeight="1">
      <c r="B24" s="13" t="inlineStr">
        <is>
          <t>Gym area</t>
        </is>
      </c>
      <c r="C24" s="51">
        <f>ROUNDUP(C7/100*Assumptions!$C$47,0)</f>
        <v/>
      </c>
      <c r="D24" s="15" t="inlineStr">
        <is>
          <t>m²</t>
        </is>
      </c>
      <c r="E24" s="16" t="inlineStr">
        <is>
          <t>On a 38-month village this is retention, not a perk. Under-provide it and it shows up in turnover.</t>
        </is>
      </c>
    </row>
    <row r="25" ht="24" customHeight="1">
      <c r="B25" s="13" t="inlineStr">
        <is>
          <t>Social, TV and quiet space</t>
        </is>
      </c>
      <c r="C25" s="51">
        <f>ROUNDUP(C7/100*Assumptions!$C$48,0)</f>
        <v/>
      </c>
      <c r="D25" s="15" t="inlineStr">
        <is>
          <t>m²</t>
        </is>
      </c>
      <c r="E25" s="16" t="inlineStr">
        <is>
          <t>Several small rooms beat one large one — shift patterns mean somebody is always asleep.</t>
        </is>
      </c>
    </row>
    <row r="26" ht="24" customHeight="1">
      <c r="B26" s="13" t="inlineStr">
        <is>
          <t>Reception, admin and village office</t>
        </is>
      </c>
      <c r="C26" s="51">
        <f>90</f>
        <v/>
      </c>
      <c r="D26" s="15" t="inlineStr">
        <is>
          <t>m²</t>
        </is>
      </c>
      <c r="E26" s="16" t="inlineStr">
        <is>
          <t>Reception, office, meeting room, first aid. Fixed provision; increase above about 400 beds.</t>
        </is>
      </c>
    </row>
    <row r="27">
      <c r="B27" s="13" t="inlineStr">
        <is>
          <t>Stores, plant and maintenance</t>
        </is>
      </c>
      <c r="C27" s="51">
        <f>ROUNDUP(C7*0.6,0)</f>
        <v/>
      </c>
      <c r="D27" s="15" t="inlineStr">
        <is>
          <t>m²</t>
        </is>
      </c>
      <c r="E27" s="16" t="inlineStr">
        <is>
          <t>Linen store, consumables, maintenance workshop, plant room. To verify.</t>
        </is>
      </c>
    </row>
    <row r="28" ht="24" customHeight="1">
      <c r="B28" s="13" t="inlineStr">
        <is>
          <t>Refuse and recycling compound</t>
        </is>
      </c>
      <c r="C28" s="51">
        <f>ROUNDUP(C7*0.35,0)</f>
        <v/>
      </c>
      <c r="D28" s="15" t="inlineStr">
        <is>
          <t>m²</t>
        </is>
      </c>
      <c r="E28" s="16" t="inlineStr">
        <is>
          <t>Sized for the arisings on Utilities and the collection frequency you can actually get.</t>
        </is>
      </c>
    </row>
    <row r="29">
      <c r="B29" s="48" t="inlineStr">
        <is>
          <t>TOTAL FACILITIES AREA</t>
        </is>
      </c>
      <c r="C29" s="52">
        <f>C11+C12+C20+C24+C25+C26+C27+C28</f>
        <v/>
      </c>
      <c r="D29" s="15" t="inlineStr">
        <is>
          <t>m²</t>
        </is>
      </c>
      <c r="E29" s="16" t="inlineStr">
        <is>
          <t>Feeds the land take on Accommodation.</t>
        </is>
      </c>
    </row>
    <row r="31">
      <c r="A31" s="12" t="inlineStr">
        <is>
          <t>FIRE, MUSTER AND SAFETY — TO BE DESIGNED, NOT ASSUMED</t>
        </is>
      </c>
    </row>
    <row r="32" ht="24" customHeight="1">
      <c r="B32" s="13" t="inlineStr">
        <is>
          <t>Muster capacity required</t>
        </is>
      </c>
      <c r="C32" s="50">
        <f>C7+VillageStaff!$C$23</f>
        <v/>
      </c>
      <c r="D32" s="15" t="inlineStr">
        <is>
          <t>people</t>
        </is>
      </c>
      <c r="E32" s="16" t="inlineStr">
        <is>
          <t>Residents plus village staff on shift. The number, location and travel distances of muster points are a fire engineer's decision, not this ratio's.</t>
        </is>
      </c>
    </row>
    <row r="33" ht="24" customHeight="1">
      <c r="B33" s="13" t="inlineStr">
        <is>
          <t>Muster area (indicative only)</t>
        </is>
      </c>
      <c r="C33" s="51">
        <f>C32*0.5</f>
        <v/>
      </c>
      <c r="D33" s="15" t="inlineStr">
        <is>
          <t>m²</t>
        </is>
      </c>
      <c r="E33" s="16" t="inlineStr">
        <is>
          <t>0.5 m² per person is an indicative planning figure. It does not constitute a fire strategy.</t>
        </is>
      </c>
    </row>
    <row r="34" ht="34" customHeight="1">
      <c r="B34" s="4" t="inlineStr">
        <is>
          <t>Fire strategy, compartmentation, alarm and detection</t>
        </is>
      </c>
      <c r="C34" s="56" t="inlineStr">
        <is>
          <t>By design</t>
        </is>
      </c>
      <c r="E34" s="57" t="inlineStr">
        <is>
          <t>A residential village of this size is a designed fire-engineering case under BS 9991 and Approved Document B — compartmentation, escape distances, detection, alarm and a management plan. Nothing in this workbook sizes any of it, and nothing here should be read as doing so.</t>
        </is>
      </c>
    </row>
  </sheetData>
  <mergeCells count="4">
    <mergeCell ref="A16:E16"/>
    <mergeCell ref="A6:E6"/>
    <mergeCell ref="A23:E23"/>
    <mergeCell ref="A31:E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AP30"/>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4" customWidth="1" min="2" max="2"/>
    <col width="7.2" customWidth="1" min="3" max="3"/>
    <col width="7.2" customWidth="1" min="4" max="4"/>
    <col width="7.2" customWidth="1" min="5" max="5"/>
    <col width="7.2" customWidth="1" min="6" max="6"/>
    <col width="7.2" customWidth="1" min="7" max="7"/>
    <col width="7.2" customWidth="1" min="8" max="8"/>
    <col width="7.2" customWidth="1" min="9" max="9"/>
    <col width="7.2" customWidth="1" min="10" max="10"/>
    <col width="7.2" customWidth="1" min="11" max="11"/>
    <col width="7.2" customWidth="1" min="12" max="12"/>
    <col width="7.2" customWidth="1" min="13" max="13"/>
    <col width="7.2" customWidth="1" min="14" max="14"/>
    <col width="7.2" customWidth="1" min="15" max="15"/>
    <col width="7.2" customWidth="1" min="16" max="16"/>
    <col width="7.2" customWidth="1" min="17" max="17"/>
    <col width="7.2" customWidth="1" min="18" max="18"/>
    <col width="7.2" customWidth="1" min="19" max="19"/>
    <col width="7.2" customWidth="1" min="20" max="20"/>
    <col width="7.2" customWidth="1" min="21" max="21"/>
    <col width="7.2" customWidth="1" min="22" max="22"/>
    <col width="7.2" customWidth="1" min="23" max="23"/>
    <col width="7.2" customWidth="1" min="24" max="24"/>
    <col width="7.2" customWidth="1" min="25" max="25"/>
    <col width="7.2" customWidth="1" min="26" max="26"/>
    <col width="7.2" customWidth="1" min="27" max="27"/>
    <col width="7.2" customWidth="1" min="28" max="28"/>
    <col width="7.2" customWidth="1" min="29" max="29"/>
    <col width="7.2" customWidth="1" min="30" max="30"/>
    <col width="7.2" customWidth="1" min="31" max="31"/>
    <col width="7.2" customWidth="1" min="32" max="32"/>
    <col width="7.2" customWidth="1" min="33" max="33"/>
    <col width="7.2" customWidth="1" min="34" max="34"/>
    <col width="7.2" customWidth="1" min="35" max="35"/>
    <col width="7.2" customWidth="1" min="36" max="36"/>
    <col width="7.2" customWidth="1" min="37" max="37"/>
    <col width="7.2" customWidth="1" min="38" max="38"/>
    <col width="7.2" customWidth="1" min="39" max="39"/>
    <col width="7.2" customWidth="1" min="40" max="40"/>
    <col width="62" customWidth="1" min="42" max="42"/>
  </cols>
  <sheetData>
    <row r="2">
      <c r="B2" s="1" t="inlineStr">
        <is>
          <t>UTILITIES, ENERGY AND WASTE — MONTH BY MONTH</t>
        </is>
      </c>
    </row>
    <row r="3">
      <c r="B3" s="3" t="inlineStr">
        <is>
          <t>Driven by occupancy from BedDemand. Design against the peak; budget against the curve.</t>
        </is>
      </c>
    </row>
    <row r="5">
      <c r="B5" s="6" t="inlineStr">
        <is>
          <t>Month</t>
        </is>
      </c>
      <c r="C5" s="36">
        <f>Workforce!C5</f>
        <v/>
      </c>
      <c r="D5" s="36">
        <f>Workforce!D5</f>
        <v/>
      </c>
      <c r="E5" s="36">
        <f>Workforce!E5</f>
        <v/>
      </c>
      <c r="F5" s="36">
        <f>Workforce!F5</f>
        <v/>
      </c>
      <c r="G5" s="36">
        <f>Workforce!G5</f>
        <v/>
      </c>
      <c r="H5" s="36">
        <f>Workforce!H5</f>
        <v/>
      </c>
      <c r="I5" s="36">
        <f>Workforce!I5</f>
        <v/>
      </c>
      <c r="J5" s="36">
        <f>Workforce!J5</f>
        <v/>
      </c>
      <c r="K5" s="36">
        <f>Workforce!K5</f>
        <v/>
      </c>
      <c r="L5" s="36">
        <f>Workforce!L5</f>
        <v/>
      </c>
      <c r="M5" s="36">
        <f>Workforce!M5</f>
        <v/>
      </c>
      <c r="N5" s="36">
        <f>Workforce!N5</f>
        <v/>
      </c>
      <c r="O5" s="36">
        <f>Workforce!O5</f>
        <v/>
      </c>
      <c r="P5" s="36">
        <f>Workforce!P5</f>
        <v/>
      </c>
      <c r="Q5" s="36">
        <f>Workforce!Q5</f>
        <v/>
      </c>
      <c r="R5" s="36">
        <f>Workforce!R5</f>
        <v/>
      </c>
      <c r="S5" s="36">
        <f>Workforce!S5</f>
        <v/>
      </c>
      <c r="T5" s="36">
        <f>Workforce!T5</f>
        <v/>
      </c>
      <c r="U5" s="36">
        <f>Workforce!U5</f>
        <v/>
      </c>
      <c r="V5" s="36">
        <f>Workforce!V5</f>
        <v/>
      </c>
      <c r="W5" s="36">
        <f>Workforce!W5</f>
        <v/>
      </c>
      <c r="X5" s="36">
        <f>Workforce!X5</f>
        <v/>
      </c>
      <c r="Y5" s="36">
        <f>Workforce!Y5</f>
        <v/>
      </c>
      <c r="Z5" s="36">
        <f>Workforce!Z5</f>
        <v/>
      </c>
      <c r="AA5" s="36">
        <f>Workforce!AA5</f>
        <v/>
      </c>
      <c r="AB5" s="36">
        <f>Workforce!AB5</f>
        <v/>
      </c>
      <c r="AC5" s="36">
        <f>Workforce!AC5</f>
        <v/>
      </c>
      <c r="AD5" s="36">
        <f>Workforce!AD5</f>
        <v/>
      </c>
      <c r="AE5" s="36">
        <f>Workforce!AE5</f>
        <v/>
      </c>
      <c r="AF5" s="36">
        <f>Workforce!AF5</f>
        <v/>
      </c>
      <c r="AG5" s="36">
        <f>Workforce!AG5</f>
        <v/>
      </c>
      <c r="AH5" s="36">
        <f>Workforce!AH5</f>
        <v/>
      </c>
      <c r="AI5" s="36">
        <f>Workforce!AI5</f>
        <v/>
      </c>
      <c r="AJ5" s="36">
        <f>Workforce!AJ5</f>
        <v/>
      </c>
      <c r="AK5" s="36">
        <f>Workforce!AK5</f>
        <v/>
      </c>
      <c r="AL5" s="36">
        <f>Workforce!AL5</f>
        <v/>
      </c>
      <c r="AM5" s="36">
        <f>Workforce!AM5</f>
        <v/>
      </c>
      <c r="AN5" s="36">
        <f>Workforce!AN5</f>
        <v/>
      </c>
      <c r="AP5" s="6" t="inlineStr">
        <is>
          <t>Basis, and what to verify</t>
        </is>
      </c>
    </row>
    <row r="6">
      <c r="B6" s="6" t="inlineStr">
        <is>
          <t>Month number</t>
        </is>
      </c>
      <c r="C6" s="32" t="n">
        <v>1</v>
      </c>
      <c r="D6" s="32" t="n">
        <v>2</v>
      </c>
      <c r="E6" s="32" t="n">
        <v>3</v>
      </c>
      <c r="F6" s="32" t="n">
        <v>4</v>
      </c>
      <c r="G6" s="32" t="n">
        <v>5</v>
      </c>
      <c r="H6" s="32" t="n">
        <v>6</v>
      </c>
      <c r="I6" s="32" t="n">
        <v>7</v>
      </c>
      <c r="J6" s="32" t="n">
        <v>8</v>
      </c>
      <c r="K6" s="32" t="n">
        <v>9</v>
      </c>
      <c r="L6" s="32" t="n">
        <v>10</v>
      </c>
      <c r="M6" s="32" t="n">
        <v>11</v>
      </c>
      <c r="N6" s="32" t="n">
        <v>12</v>
      </c>
      <c r="O6" s="32" t="n">
        <v>13</v>
      </c>
      <c r="P6" s="32" t="n">
        <v>14</v>
      </c>
      <c r="Q6" s="32" t="n">
        <v>15</v>
      </c>
      <c r="R6" s="32" t="n">
        <v>16</v>
      </c>
      <c r="S6" s="32" t="n">
        <v>17</v>
      </c>
      <c r="T6" s="32" t="n">
        <v>18</v>
      </c>
      <c r="U6" s="32" t="n">
        <v>19</v>
      </c>
      <c r="V6" s="32" t="n">
        <v>20</v>
      </c>
      <c r="W6" s="32" t="n">
        <v>21</v>
      </c>
      <c r="X6" s="32" t="n">
        <v>22</v>
      </c>
      <c r="Y6" s="32" t="n">
        <v>23</v>
      </c>
      <c r="Z6" s="32" t="n">
        <v>24</v>
      </c>
      <c r="AA6" s="32" t="n">
        <v>25</v>
      </c>
      <c r="AB6" s="32" t="n">
        <v>26</v>
      </c>
      <c r="AC6" s="32" t="n">
        <v>27</v>
      </c>
      <c r="AD6" s="32" t="n">
        <v>28</v>
      </c>
      <c r="AE6" s="32" t="n">
        <v>29</v>
      </c>
      <c r="AF6" s="32" t="n">
        <v>30</v>
      </c>
      <c r="AG6" s="32" t="n">
        <v>31</v>
      </c>
      <c r="AH6" s="32" t="n">
        <v>32</v>
      </c>
      <c r="AI6" s="32" t="n">
        <v>33</v>
      </c>
      <c r="AJ6" s="32" t="n">
        <v>34</v>
      </c>
      <c r="AK6" s="32" t="n">
        <v>35</v>
      </c>
      <c r="AL6" s="32" t="n">
        <v>36</v>
      </c>
      <c r="AM6" s="32" t="n">
        <v>37</v>
      </c>
      <c r="AN6" s="32" t="n">
        <v>38</v>
      </c>
    </row>
    <row r="7">
      <c r="B7" s="6" t="inlineStr">
        <is>
          <t>Residents in village</t>
        </is>
      </c>
      <c r="C7" s="58" t="inlineStr">
        <is>
          <t>BedDemand!C10</t>
        </is>
      </c>
      <c r="D7" s="58" t="inlineStr">
        <is>
          <t>BedDemand!D10</t>
        </is>
      </c>
      <c r="E7" s="58" t="inlineStr">
        <is>
          <t>BedDemand!E10</t>
        </is>
      </c>
      <c r="F7" s="58" t="inlineStr">
        <is>
          <t>BedDemand!F10</t>
        </is>
      </c>
      <c r="G7" s="58" t="inlineStr">
        <is>
          <t>BedDemand!G10</t>
        </is>
      </c>
      <c r="H7" s="58" t="inlineStr">
        <is>
          <t>BedDemand!H10</t>
        </is>
      </c>
      <c r="I7" s="58" t="inlineStr">
        <is>
          <t>BedDemand!I10</t>
        </is>
      </c>
      <c r="J7" s="58" t="inlineStr">
        <is>
          <t>BedDemand!J10</t>
        </is>
      </c>
      <c r="K7" s="58" t="inlineStr">
        <is>
          <t>BedDemand!K10</t>
        </is>
      </c>
      <c r="L7" s="58" t="inlineStr">
        <is>
          <t>BedDemand!L10</t>
        </is>
      </c>
      <c r="M7" s="58" t="inlineStr">
        <is>
          <t>BedDemand!M10</t>
        </is>
      </c>
      <c r="N7" s="58" t="inlineStr">
        <is>
          <t>BedDemand!N10</t>
        </is>
      </c>
      <c r="O7" s="58" t="inlineStr">
        <is>
          <t>BedDemand!O10</t>
        </is>
      </c>
      <c r="P7" s="58" t="inlineStr">
        <is>
          <t>BedDemand!P10</t>
        </is>
      </c>
      <c r="Q7" s="58" t="inlineStr">
        <is>
          <t>BedDemand!Q10</t>
        </is>
      </c>
      <c r="R7" s="58" t="inlineStr">
        <is>
          <t>BedDemand!R10</t>
        </is>
      </c>
      <c r="S7" s="58" t="inlineStr">
        <is>
          <t>BedDemand!S10</t>
        </is>
      </c>
      <c r="T7" s="58" t="inlineStr">
        <is>
          <t>BedDemand!T10</t>
        </is>
      </c>
      <c r="U7" s="58" t="inlineStr">
        <is>
          <t>BedDemand!U10</t>
        </is>
      </c>
      <c r="V7" s="58" t="inlineStr">
        <is>
          <t>BedDemand!V10</t>
        </is>
      </c>
      <c r="W7" s="58" t="inlineStr">
        <is>
          <t>BedDemand!W10</t>
        </is>
      </c>
      <c r="X7" s="58" t="inlineStr">
        <is>
          <t>BedDemand!X10</t>
        </is>
      </c>
      <c r="Y7" s="58" t="inlineStr">
        <is>
          <t>BedDemand!Y10</t>
        </is>
      </c>
      <c r="Z7" s="58" t="inlineStr">
        <is>
          <t>BedDemand!Z10</t>
        </is>
      </c>
      <c r="AA7" s="58" t="inlineStr">
        <is>
          <t>BedDemand!AA10</t>
        </is>
      </c>
      <c r="AB7" s="58" t="inlineStr">
        <is>
          <t>BedDemand!AB10</t>
        </is>
      </c>
      <c r="AC7" s="58" t="inlineStr">
        <is>
          <t>BedDemand!AC10</t>
        </is>
      </c>
      <c r="AD7" s="58" t="inlineStr">
        <is>
          <t>BedDemand!AD10</t>
        </is>
      </c>
      <c r="AE7" s="58" t="inlineStr">
        <is>
          <t>BedDemand!AE10</t>
        </is>
      </c>
      <c r="AF7" s="58" t="inlineStr">
        <is>
          <t>BedDemand!AF10</t>
        </is>
      </c>
      <c r="AG7" s="58" t="inlineStr">
        <is>
          <t>BedDemand!AG10</t>
        </is>
      </c>
      <c r="AH7" s="58" t="inlineStr">
        <is>
          <t>BedDemand!AH10</t>
        </is>
      </c>
      <c r="AI7" s="58" t="inlineStr">
        <is>
          <t>BedDemand!AI10</t>
        </is>
      </c>
      <c r="AJ7" s="58" t="inlineStr">
        <is>
          <t>BedDemand!AJ10</t>
        </is>
      </c>
      <c r="AK7" s="58" t="inlineStr">
        <is>
          <t>BedDemand!AK10</t>
        </is>
      </c>
      <c r="AL7" s="58" t="inlineStr">
        <is>
          <t>BedDemand!AL10</t>
        </is>
      </c>
      <c r="AM7" s="58" t="inlineStr">
        <is>
          <t>BedDemand!AM10</t>
        </is>
      </c>
      <c r="AN7" s="58" t="inlineStr">
        <is>
          <t>BedDemand!AN10</t>
        </is>
      </c>
      <c r="AP7" s="57" t="inlineStr">
        <is>
          <t>From BedDemand. Everything on this sheet follows it.</t>
        </is>
      </c>
    </row>
    <row r="9" ht="24" customHeight="1">
      <c r="B9" s="4" t="inlineStr">
        <is>
          <t>Water demand</t>
        </is>
      </c>
      <c r="C9" s="59">
        <f>ROUND(BedDemand!C10*Assumptions!$C$51/1000,1)</f>
        <v/>
      </c>
      <c r="D9" s="59">
        <f>ROUND(BedDemand!D10*Assumptions!$C$51/1000,1)</f>
        <v/>
      </c>
      <c r="E9" s="59">
        <f>ROUND(BedDemand!E10*Assumptions!$C$51/1000,1)</f>
        <v/>
      </c>
      <c r="F9" s="59">
        <f>ROUND(BedDemand!F10*Assumptions!$C$51/1000,1)</f>
        <v/>
      </c>
      <c r="G9" s="59">
        <f>ROUND(BedDemand!G10*Assumptions!$C$51/1000,1)</f>
        <v/>
      </c>
      <c r="H9" s="59">
        <f>ROUND(BedDemand!H10*Assumptions!$C$51/1000,1)</f>
        <v/>
      </c>
      <c r="I9" s="59">
        <f>ROUND(BedDemand!I10*Assumptions!$C$51/1000,1)</f>
        <v/>
      </c>
      <c r="J9" s="59">
        <f>ROUND(BedDemand!J10*Assumptions!$C$51/1000,1)</f>
        <v/>
      </c>
      <c r="K9" s="59">
        <f>ROUND(BedDemand!K10*Assumptions!$C$51/1000,1)</f>
        <v/>
      </c>
      <c r="L9" s="59">
        <f>ROUND(BedDemand!L10*Assumptions!$C$51/1000,1)</f>
        <v/>
      </c>
      <c r="M9" s="59">
        <f>ROUND(BedDemand!M10*Assumptions!$C$51/1000,1)</f>
        <v/>
      </c>
      <c r="N9" s="59">
        <f>ROUND(BedDemand!N10*Assumptions!$C$51/1000,1)</f>
        <v/>
      </c>
      <c r="O9" s="59">
        <f>ROUND(BedDemand!O10*Assumptions!$C$51/1000,1)</f>
        <v/>
      </c>
      <c r="P9" s="59">
        <f>ROUND(BedDemand!P10*Assumptions!$C$51/1000,1)</f>
        <v/>
      </c>
      <c r="Q9" s="59">
        <f>ROUND(BedDemand!Q10*Assumptions!$C$51/1000,1)</f>
        <v/>
      </c>
      <c r="R9" s="59">
        <f>ROUND(BedDemand!R10*Assumptions!$C$51/1000,1)</f>
        <v/>
      </c>
      <c r="S9" s="59">
        <f>ROUND(BedDemand!S10*Assumptions!$C$51/1000,1)</f>
        <v/>
      </c>
      <c r="T9" s="59">
        <f>ROUND(BedDemand!T10*Assumptions!$C$51/1000,1)</f>
        <v/>
      </c>
      <c r="U9" s="59">
        <f>ROUND(BedDemand!U10*Assumptions!$C$51/1000,1)</f>
        <v/>
      </c>
      <c r="V9" s="59">
        <f>ROUND(BedDemand!V10*Assumptions!$C$51/1000,1)</f>
        <v/>
      </c>
      <c r="W9" s="59">
        <f>ROUND(BedDemand!W10*Assumptions!$C$51/1000,1)</f>
        <v/>
      </c>
      <c r="X9" s="59">
        <f>ROUND(BedDemand!X10*Assumptions!$C$51/1000,1)</f>
        <v/>
      </c>
      <c r="Y9" s="59">
        <f>ROUND(BedDemand!Y10*Assumptions!$C$51/1000,1)</f>
        <v/>
      </c>
      <c r="Z9" s="59">
        <f>ROUND(BedDemand!Z10*Assumptions!$C$51/1000,1)</f>
        <v/>
      </c>
      <c r="AA9" s="59">
        <f>ROUND(BedDemand!AA10*Assumptions!$C$51/1000,1)</f>
        <v/>
      </c>
      <c r="AB9" s="59">
        <f>ROUND(BedDemand!AB10*Assumptions!$C$51/1000,1)</f>
        <v/>
      </c>
      <c r="AC9" s="59">
        <f>ROUND(BedDemand!AC10*Assumptions!$C$51/1000,1)</f>
        <v/>
      </c>
      <c r="AD9" s="59">
        <f>ROUND(BedDemand!AD10*Assumptions!$C$51/1000,1)</f>
        <v/>
      </c>
      <c r="AE9" s="59">
        <f>ROUND(BedDemand!AE10*Assumptions!$C$51/1000,1)</f>
        <v/>
      </c>
      <c r="AF9" s="59">
        <f>ROUND(BedDemand!AF10*Assumptions!$C$51/1000,1)</f>
        <v/>
      </c>
      <c r="AG9" s="59">
        <f>ROUND(BedDemand!AG10*Assumptions!$C$51/1000,1)</f>
        <v/>
      </c>
      <c r="AH9" s="59">
        <f>ROUND(BedDemand!AH10*Assumptions!$C$51/1000,1)</f>
        <v/>
      </c>
      <c r="AI9" s="59">
        <f>ROUND(BedDemand!AI10*Assumptions!$C$51/1000,1)</f>
        <v/>
      </c>
      <c r="AJ9" s="59">
        <f>ROUND(BedDemand!AJ10*Assumptions!$C$51/1000,1)</f>
        <v/>
      </c>
      <c r="AK9" s="59">
        <f>ROUND(BedDemand!AK10*Assumptions!$C$51/1000,1)</f>
        <v/>
      </c>
      <c r="AL9" s="59">
        <f>ROUND(BedDemand!AL10*Assumptions!$C$51/1000,1)</f>
        <v/>
      </c>
      <c r="AM9" s="59">
        <f>ROUND(BedDemand!AM10*Assumptions!$C$51/1000,1)</f>
        <v/>
      </c>
      <c r="AN9" s="59">
        <f>ROUND(BedDemand!AN10*Assumptions!$C$51/1000,1)</f>
        <v/>
      </c>
      <c r="AP9" s="57" t="inlineStr">
        <is>
          <t>m³/day. Residential occupancy — showers, laundry, catering, WCs. Far above a site-welfare figure. Verify with the water undertaker before relying on a connection.</t>
        </is>
      </c>
    </row>
    <row r="10">
      <c r="B10" s="4" t="inlineStr">
        <is>
          <t xml:space="preserve">  of which hot water</t>
        </is>
      </c>
      <c r="C10" s="59">
        <f>ROUND(C9*Assumptions!$C$52,1)</f>
        <v/>
      </c>
      <c r="D10" s="59">
        <f>ROUND(D9*Assumptions!$C$52,1)</f>
        <v/>
      </c>
      <c r="E10" s="59">
        <f>ROUND(E9*Assumptions!$C$52,1)</f>
        <v/>
      </c>
      <c r="F10" s="59">
        <f>ROUND(F9*Assumptions!$C$52,1)</f>
        <v/>
      </c>
      <c r="G10" s="59">
        <f>ROUND(G9*Assumptions!$C$52,1)</f>
        <v/>
      </c>
      <c r="H10" s="59">
        <f>ROUND(H9*Assumptions!$C$52,1)</f>
        <v/>
      </c>
      <c r="I10" s="59">
        <f>ROUND(I9*Assumptions!$C$52,1)</f>
        <v/>
      </c>
      <c r="J10" s="59">
        <f>ROUND(J9*Assumptions!$C$52,1)</f>
        <v/>
      </c>
      <c r="K10" s="59">
        <f>ROUND(K9*Assumptions!$C$52,1)</f>
        <v/>
      </c>
      <c r="L10" s="59">
        <f>ROUND(L9*Assumptions!$C$52,1)</f>
        <v/>
      </c>
      <c r="M10" s="59">
        <f>ROUND(M9*Assumptions!$C$52,1)</f>
        <v/>
      </c>
      <c r="N10" s="59">
        <f>ROUND(N9*Assumptions!$C$52,1)</f>
        <v/>
      </c>
      <c r="O10" s="59">
        <f>ROUND(O9*Assumptions!$C$52,1)</f>
        <v/>
      </c>
      <c r="P10" s="59">
        <f>ROUND(P9*Assumptions!$C$52,1)</f>
        <v/>
      </c>
      <c r="Q10" s="59">
        <f>ROUND(Q9*Assumptions!$C$52,1)</f>
        <v/>
      </c>
      <c r="R10" s="59">
        <f>ROUND(R9*Assumptions!$C$52,1)</f>
        <v/>
      </c>
      <c r="S10" s="59">
        <f>ROUND(S9*Assumptions!$C$52,1)</f>
        <v/>
      </c>
      <c r="T10" s="59">
        <f>ROUND(T9*Assumptions!$C$52,1)</f>
        <v/>
      </c>
      <c r="U10" s="59">
        <f>ROUND(U9*Assumptions!$C$52,1)</f>
        <v/>
      </c>
      <c r="V10" s="59">
        <f>ROUND(V9*Assumptions!$C$52,1)</f>
        <v/>
      </c>
      <c r="W10" s="59">
        <f>ROUND(W9*Assumptions!$C$52,1)</f>
        <v/>
      </c>
      <c r="X10" s="59">
        <f>ROUND(X9*Assumptions!$C$52,1)</f>
        <v/>
      </c>
      <c r="Y10" s="59">
        <f>ROUND(Y9*Assumptions!$C$52,1)</f>
        <v/>
      </c>
      <c r="Z10" s="59">
        <f>ROUND(Z9*Assumptions!$C$52,1)</f>
        <v/>
      </c>
      <c r="AA10" s="59">
        <f>ROUND(AA9*Assumptions!$C$52,1)</f>
        <v/>
      </c>
      <c r="AB10" s="59">
        <f>ROUND(AB9*Assumptions!$C$52,1)</f>
        <v/>
      </c>
      <c r="AC10" s="59">
        <f>ROUND(AC9*Assumptions!$C$52,1)</f>
        <v/>
      </c>
      <c r="AD10" s="59">
        <f>ROUND(AD9*Assumptions!$C$52,1)</f>
        <v/>
      </c>
      <c r="AE10" s="59">
        <f>ROUND(AE9*Assumptions!$C$52,1)</f>
        <v/>
      </c>
      <c r="AF10" s="59">
        <f>ROUND(AF9*Assumptions!$C$52,1)</f>
        <v/>
      </c>
      <c r="AG10" s="59">
        <f>ROUND(AG9*Assumptions!$C$52,1)</f>
        <v/>
      </c>
      <c r="AH10" s="59">
        <f>ROUND(AH9*Assumptions!$C$52,1)</f>
        <v/>
      </c>
      <c r="AI10" s="59">
        <f>ROUND(AI9*Assumptions!$C$52,1)</f>
        <v/>
      </c>
      <c r="AJ10" s="59">
        <f>ROUND(AJ9*Assumptions!$C$52,1)</f>
        <v/>
      </c>
      <c r="AK10" s="59">
        <f>ROUND(AK9*Assumptions!$C$52,1)</f>
        <v/>
      </c>
      <c r="AL10" s="59">
        <f>ROUND(AL9*Assumptions!$C$52,1)</f>
        <v/>
      </c>
      <c r="AM10" s="59">
        <f>ROUND(AM9*Assumptions!$C$52,1)</f>
        <v/>
      </c>
      <c r="AN10" s="59">
        <f>ROUND(AN9*Assumptions!$C$52,1)</f>
        <v/>
      </c>
      <c r="AP10" s="57" t="inlineStr">
        <is>
          <t>m³/day. Sizes calorifiers and the heating load that serves them.</t>
        </is>
      </c>
    </row>
    <row r="11">
      <c r="B11" s="4" t="inlineStr">
        <is>
          <t>Foul return</t>
        </is>
      </c>
      <c r="C11" s="59">
        <f>ROUND(C9*Assumptions!$C$53,1)</f>
        <v/>
      </c>
      <c r="D11" s="59">
        <f>ROUND(D9*Assumptions!$C$53,1)</f>
        <v/>
      </c>
      <c r="E11" s="59">
        <f>ROUND(E9*Assumptions!$C$53,1)</f>
        <v/>
      </c>
      <c r="F11" s="59">
        <f>ROUND(F9*Assumptions!$C$53,1)</f>
        <v/>
      </c>
      <c r="G11" s="59">
        <f>ROUND(G9*Assumptions!$C$53,1)</f>
        <v/>
      </c>
      <c r="H11" s="59">
        <f>ROUND(H9*Assumptions!$C$53,1)</f>
        <v/>
      </c>
      <c r="I11" s="59">
        <f>ROUND(I9*Assumptions!$C$53,1)</f>
        <v/>
      </c>
      <c r="J11" s="59">
        <f>ROUND(J9*Assumptions!$C$53,1)</f>
        <v/>
      </c>
      <c r="K11" s="59">
        <f>ROUND(K9*Assumptions!$C$53,1)</f>
        <v/>
      </c>
      <c r="L11" s="59">
        <f>ROUND(L9*Assumptions!$C$53,1)</f>
        <v/>
      </c>
      <c r="M11" s="59">
        <f>ROUND(M9*Assumptions!$C$53,1)</f>
        <v/>
      </c>
      <c r="N11" s="59">
        <f>ROUND(N9*Assumptions!$C$53,1)</f>
        <v/>
      </c>
      <c r="O11" s="59">
        <f>ROUND(O9*Assumptions!$C$53,1)</f>
        <v/>
      </c>
      <c r="P11" s="59">
        <f>ROUND(P9*Assumptions!$C$53,1)</f>
        <v/>
      </c>
      <c r="Q11" s="59">
        <f>ROUND(Q9*Assumptions!$C$53,1)</f>
        <v/>
      </c>
      <c r="R11" s="59">
        <f>ROUND(R9*Assumptions!$C$53,1)</f>
        <v/>
      </c>
      <c r="S11" s="59">
        <f>ROUND(S9*Assumptions!$C$53,1)</f>
        <v/>
      </c>
      <c r="T11" s="59">
        <f>ROUND(T9*Assumptions!$C$53,1)</f>
        <v/>
      </c>
      <c r="U11" s="59">
        <f>ROUND(U9*Assumptions!$C$53,1)</f>
        <v/>
      </c>
      <c r="V11" s="59">
        <f>ROUND(V9*Assumptions!$C$53,1)</f>
        <v/>
      </c>
      <c r="W11" s="59">
        <f>ROUND(W9*Assumptions!$C$53,1)</f>
        <v/>
      </c>
      <c r="X11" s="59">
        <f>ROUND(X9*Assumptions!$C$53,1)</f>
        <v/>
      </c>
      <c r="Y11" s="59">
        <f>ROUND(Y9*Assumptions!$C$53,1)</f>
        <v/>
      </c>
      <c r="Z11" s="59">
        <f>ROUND(Z9*Assumptions!$C$53,1)</f>
        <v/>
      </c>
      <c r="AA11" s="59">
        <f>ROUND(AA9*Assumptions!$C$53,1)</f>
        <v/>
      </c>
      <c r="AB11" s="59">
        <f>ROUND(AB9*Assumptions!$C$53,1)</f>
        <v/>
      </c>
      <c r="AC11" s="59">
        <f>ROUND(AC9*Assumptions!$C$53,1)</f>
        <v/>
      </c>
      <c r="AD11" s="59">
        <f>ROUND(AD9*Assumptions!$C$53,1)</f>
        <v/>
      </c>
      <c r="AE11" s="59">
        <f>ROUND(AE9*Assumptions!$C$53,1)</f>
        <v/>
      </c>
      <c r="AF11" s="59">
        <f>ROUND(AF9*Assumptions!$C$53,1)</f>
        <v/>
      </c>
      <c r="AG11" s="59">
        <f>ROUND(AG9*Assumptions!$C$53,1)</f>
        <v/>
      </c>
      <c r="AH11" s="59">
        <f>ROUND(AH9*Assumptions!$C$53,1)</f>
        <v/>
      </c>
      <c r="AI11" s="59">
        <f>ROUND(AI9*Assumptions!$C$53,1)</f>
        <v/>
      </c>
      <c r="AJ11" s="59">
        <f>ROUND(AJ9*Assumptions!$C$53,1)</f>
        <v/>
      </c>
      <c r="AK11" s="59">
        <f>ROUND(AK9*Assumptions!$C$53,1)</f>
        <v/>
      </c>
      <c r="AL11" s="59">
        <f>ROUND(AL9*Assumptions!$C$53,1)</f>
        <v/>
      </c>
      <c r="AM11" s="59">
        <f>ROUND(AM9*Assumptions!$C$53,1)</f>
        <v/>
      </c>
      <c r="AN11" s="59">
        <f>ROUND(AN9*Assumptions!$C$53,1)</f>
        <v/>
      </c>
      <c r="AP11" s="57" t="inlineStr">
        <is>
          <t>m³/day. Treatment plant capacity, or tanker frequency if there is no connection.</t>
        </is>
      </c>
    </row>
    <row r="12" ht="24" customHeight="1">
      <c r="B12" s="4" t="inlineStr">
        <is>
          <t>Tanker movements if no foul connection</t>
        </is>
      </c>
      <c r="C12" s="59">
        <f>ROUNDUP(C11/30,0)</f>
        <v/>
      </c>
      <c r="D12" s="59">
        <f>ROUNDUP(D11/30,0)</f>
        <v/>
      </c>
      <c r="E12" s="59">
        <f>ROUNDUP(E11/30,0)</f>
        <v/>
      </c>
      <c r="F12" s="59">
        <f>ROUNDUP(F11/30,0)</f>
        <v/>
      </c>
      <c r="G12" s="59">
        <f>ROUNDUP(G11/30,0)</f>
        <v/>
      </c>
      <c r="H12" s="59">
        <f>ROUNDUP(H11/30,0)</f>
        <v/>
      </c>
      <c r="I12" s="59">
        <f>ROUNDUP(I11/30,0)</f>
        <v/>
      </c>
      <c r="J12" s="59">
        <f>ROUNDUP(J11/30,0)</f>
        <v/>
      </c>
      <c r="K12" s="59">
        <f>ROUNDUP(K11/30,0)</f>
        <v/>
      </c>
      <c r="L12" s="59">
        <f>ROUNDUP(L11/30,0)</f>
        <v/>
      </c>
      <c r="M12" s="59">
        <f>ROUNDUP(M11/30,0)</f>
        <v/>
      </c>
      <c r="N12" s="59">
        <f>ROUNDUP(N11/30,0)</f>
        <v/>
      </c>
      <c r="O12" s="59">
        <f>ROUNDUP(O11/30,0)</f>
        <v/>
      </c>
      <c r="P12" s="59">
        <f>ROUNDUP(P11/30,0)</f>
        <v/>
      </c>
      <c r="Q12" s="59">
        <f>ROUNDUP(Q11/30,0)</f>
        <v/>
      </c>
      <c r="R12" s="59">
        <f>ROUNDUP(R11/30,0)</f>
        <v/>
      </c>
      <c r="S12" s="59">
        <f>ROUNDUP(S11/30,0)</f>
        <v/>
      </c>
      <c r="T12" s="59">
        <f>ROUNDUP(T11/30,0)</f>
        <v/>
      </c>
      <c r="U12" s="59">
        <f>ROUNDUP(U11/30,0)</f>
        <v/>
      </c>
      <c r="V12" s="59">
        <f>ROUNDUP(V11/30,0)</f>
        <v/>
      </c>
      <c r="W12" s="59">
        <f>ROUNDUP(W11/30,0)</f>
        <v/>
      </c>
      <c r="X12" s="59">
        <f>ROUNDUP(X11/30,0)</f>
        <v/>
      </c>
      <c r="Y12" s="59">
        <f>ROUNDUP(Y11/30,0)</f>
        <v/>
      </c>
      <c r="Z12" s="59">
        <f>ROUNDUP(Z11/30,0)</f>
        <v/>
      </c>
      <c r="AA12" s="59">
        <f>ROUNDUP(AA11/30,0)</f>
        <v/>
      </c>
      <c r="AB12" s="59">
        <f>ROUNDUP(AB11/30,0)</f>
        <v/>
      </c>
      <c r="AC12" s="59">
        <f>ROUNDUP(AC11/30,0)</f>
        <v/>
      </c>
      <c r="AD12" s="59">
        <f>ROUNDUP(AD11/30,0)</f>
        <v/>
      </c>
      <c r="AE12" s="59">
        <f>ROUNDUP(AE11/30,0)</f>
        <v/>
      </c>
      <c r="AF12" s="59">
        <f>ROUNDUP(AF11/30,0)</f>
        <v/>
      </c>
      <c r="AG12" s="59">
        <f>ROUNDUP(AG11/30,0)</f>
        <v/>
      </c>
      <c r="AH12" s="59">
        <f>ROUNDUP(AH11/30,0)</f>
        <v/>
      </c>
      <c r="AI12" s="59">
        <f>ROUNDUP(AI11/30,0)</f>
        <v/>
      </c>
      <c r="AJ12" s="59">
        <f>ROUNDUP(AJ11/30,0)</f>
        <v/>
      </c>
      <c r="AK12" s="59">
        <f>ROUNDUP(AK11/30,0)</f>
        <v/>
      </c>
      <c r="AL12" s="59">
        <f>ROUNDUP(AL11/30,0)</f>
        <v/>
      </c>
      <c r="AM12" s="59">
        <f>ROUNDUP(AM11/30,0)</f>
        <v/>
      </c>
      <c r="AN12" s="59">
        <f>ROUNDUP(AN11/30,0)</f>
        <v/>
      </c>
      <c r="AP12" s="57" t="inlineStr">
        <is>
          <t>loads/day at 30 m³ a tanker. If this number is above one or two, a connection or a package plant stops being optional.</t>
        </is>
      </c>
    </row>
    <row r="14" ht="24" customHeight="1">
      <c r="B14" s="4" t="inlineStr">
        <is>
          <t>Electrical connected load</t>
        </is>
      </c>
      <c r="C14" s="60">
        <f>ROUND(BedDemand!C10*Assumptions!$C$54+IF(BedDemand!C10&gt;0,Assumptions!$C$56,0),0)</f>
        <v/>
      </c>
      <c r="D14" s="60">
        <f>ROUND(BedDemand!D10*Assumptions!$C$54+IF(BedDemand!D10&gt;0,Assumptions!$C$56,0),0)</f>
        <v/>
      </c>
      <c r="E14" s="60">
        <f>ROUND(BedDemand!E10*Assumptions!$C$54+IF(BedDemand!E10&gt;0,Assumptions!$C$56,0),0)</f>
        <v/>
      </c>
      <c r="F14" s="60">
        <f>ROUND(BedDemand!F10*Assumptions!$C$54+IF(BedDemand!F10&gt;0,Assumptions!$C$56,0),0)</f>
        <v/>
      </c>
      <c r="G14" s="60">
        <f>ROUND(BedDemand!G10*Assumptions!$C$54+IF(BedDemand!G10&gt;0,Assumptions!$C$56,0),0)</f>
        <v/>
      </c>
      <c r="H14" s="60">
        <f>ROUND(BedDemand!H10*Assumptions!$C$54+IF(BedDemand!H10&gt;0,Assumptions!$C$56,0),0)</f>
        <v/>
      </c>
      <c r="I14" s="60">
        <f>ROUND(BedDemand!I10*Assumptions!$C$54+IF(BedDemand!I10&gt;0,Assumptions!$C$56,0),0)</f>
        <v/>
      </c>
      <c r="J14" s="60">
        <f>ROUND(BedDemand!J10*Assumptions!$C$54+IF(BedDemand!J10&gt;0,Assumptions!$C$56,0),0)</f>
        <v/>
      </c>
      <c r="K14" s="60">
        <f>ROUND(BedDemand!K10*Assumptions!$C$54+IF(BedDemand!K10&gt;0,Assumptions!$C$56,0),0)</f>
        <v/>
      </c>
      <c r="L14" s="60">
        <f>ROUND(BedDemand!L10*Assumptions!$C$54+IF(BedDemand!L10&gt;0,Assumptions!$C$56,0),0)</f>
        <v/>
      </c>
      <c r="M14" s="60">
        <f>ROUND(BedDemand!M10*Assumptions!$C$54+IF(BedDemand!M10&gt;0,Assumptions!$C$56,0),0)</f>
        <v/>
      </c>
      <c r="N14" s="60">
        <f>ROUND(BedDemand!N10*Assumptions!$C$54+IF(BedDemand!N10&gt;0,Assumptions!$C$56,0),0)</f>
        <v/>
      </c>
      <c r="O14" s="60">
        <f>ROUND(BedDemand!O10*Assumptions!$C$54+IF(BedDemand!O10&gt;0,Assumptions!$C$56,0),0)</f>
        <v/>
      </c>
      <c r="P14" s="60">
        <f>ROUND(BedDemand!P10*Assumptions!$C$54+IF(BedDemand!P10&gt;0,Assumptions!$C$56,0),0)</f>
        <v/>
      </c>
      <c r="Q14" s="60">
        <f>ROUND(BedDemand!Q10*Assumptions!$C$54+IF(BedDemand!Q10&gt;0,Assumptions!$C$56,0),0)</f>
        <v/>
      </c>
      <c r="R14" s="60">
        <f>ROUND(BedDemand!R10*Assumptions!$C$54+IF(BedDemand!R10&gt;0,Assumptions!$C$56,0),0)</f>
        <v/>
      </c>
      <c r="S14" s="60">
        <f>ROUND(BedDemand!S10*Assumptions!$C$54+IF(BedDemand!S10&gt;0,Assumptions!$C$56,0),0)</f>
        <v/>
      </c>
      <c r="T14" s="60">
        <f>ROUND(BedDemand!T10*Assumptions!$C$54+IF(BedDemand!T10&gt;0,Assumptions!$C$56,0),0)</f>
        <v/>
      </c>
      <c r="U14" s="60">
        <f>ROUND(BedDemand!U10*Assumptions!$C$54+IF(BedDemand!U10&gt;0,Assumptions!$C$56,0),0)</f>
        <v/>
      </c>
      <c r="V14" s="60">
        <f>ROUND(BedDemand!V10*Assumptions!$C$54+IF(BedDemand!V10&gt;0,Assumptions!$C$56,0),0)</f>
        <v/>
      </c>
      <c r="W14" s="60">
        <f>ROUND(BedDemand!W10*Assumptions!$C$54+IF(BedDemand!W10&gt;0,Assumptions!$C$56,0),0)</f>
        <v/>
      </c>
      <c r="X14" s="60">
        <f>ROUND(BedDemand!X10*Assumptions!$C$54+IF(BedDemand!X10&gt;0,Assumptions!$C$56,0),0)</f>
        <v/>
      </c>
      <c r="Y14" s="60">
        <f>ROUND(BedDemand!Y10*Assumptions!$C$54+IF(BedDemand!Y10&gt;0,Assumptions!$C$56,0),0)</f>
        <v/>
      </c>
      <c r="Z14" s="60">
        <f>ROUND(BedDemand!Z10*Assumptions!$C$54+IF(BedDemand!Z10&gt;0,Assumptions!$C$56,0),0)</f>
        <v/>
      </c>
      <c r="AA14" s="60">
        <f>ROUND(BedDemand!AA10*Assumptions!$C$54+IF(BedDemand!AA10&gt;0,Assumptions!$C$56,0),0)</f>
        <v/>
      </c>
      <c r="AB14" s="60">
        <f>ROUND(BedDemand!AB10*Assumptions!$C$54+IF(BedDemand!AB10&gt;0,Assumptions!$C$56,0),0)</f>
        <v/>
      </c>
      <c r="AC14" s="60">
        <f>ROUND(BedDemand!AC10*Assumptions!$C$54+IF(BedDemand!AC10&gt;0,Assumptions!$C$56,0),0)</f>
        <v/>
      </c>
      <c r="AD14" s="60">
        <f>ROUND(BedDemand!AD10*Assumptions!$C$54+IF(BedDemand!AD10&gt;0,Assumptions!$C$56,0),0)</f>
        <v/>
      </c>
      <c r="AE14" s="60">
        <f>ROUND(BedDemand!AE10*Assumptions!$C$54+IF(BedDemand!AE10&gt;0,Assumptions!$C$56,0),0)</f>
        <v/>
      </c>
      <c r="AF14" s="60">
        <f>ROUND(BedDemand!AF10*Assumptions!$C$54+IF(BedDemand!AF10&gt;0,Assumptions!$C$56,0),0)</f>
        <v/>
      </c>
      <c r="AG14" s="60">
        <f>ROUND(BedDemand!AG10*Assumptions!$C$54+IF(BedDemand!AG10&gt;0,Assumptions!$C$56,0),0)</f>
        <v/>
      </c>
      <c r="AH14" s="60">
        <f>ROUND(BedDemand!AH10*Assumptions!$C$54+IF(BedDemand!AH10&gt;0,Assumptions!$C$56,0),0)</f>
        <v/>
      </c>
      <c r="AI14" s="60">
        <f>ROUND(BedDemand!AI10*Assumptions!$C$54+IF(BedDemand!AI10&gt;0,Assumptions!$C$56,0),0)</f>
        <v/>
      </c>
      <c r="AJ14" s="60">
        <f>ROUND(BedDemand!AJ10*Assumptions!$C$54+IF(BedDemand!AJ10&gt;0,Assumptions!$C$56,0),0)</f>
        <v/>
      </c>
      <c r="AK14" s="60">
        <f>ROUND(BedDemand!AK10*Assumptions!$C$54+IF(BedDemand!AK10&gt;0,Assumptions!$C$56,0),0)</f>
        <v/>
      </c>
      <c r="AL14" s="60">
        <f>ROUND(BedDemand!AL10*Assumptions!$C$54+IF(BedDemand!AL10&gt;0,Assumptions!$C$56,0),0)</f>
        <v/>
      </c>
      <c r="AM14" s="60">
        <f>ROUND(BedDemand!AM10*Assumptions!$C$54+IF(BedDemand!AM10&gt;0,Assumptions!$C$56,0),0)</f>
        <v/>
      </c>
      <c r="AN14" s="60">
        <f>ROUND(BedDemand!AN10*Assumptions!$C$54+IF(BedDemand!AN10&gt;0,Assumptions!$C$56,0),0)</f>
        <v/>
      </c>
      <c r="AP14" s="57" t="inlineStr">
        <is>
          <t>kW. Accommodation plus catering. Excludes electric space heating, which is on the line below.</t>
        </is>
      </c>
    </row>
    <row r="15" ht="24" customHeight="1">
      <c r="B15" s="4" t="inlineStr">
        <is>
          <t>Heating load</t>
        </is>
      </c>
      <c r="C15" s="60">
        <f>ROUND(BedDemand!C10*Assumptions!$C$57,0)</f>
        <v/>
      </c>
      <c r="D15" s="60">
        <f>ROUND(BedDemand!D10*Assumptions!$C$57,0)</f>
        <v/>
      </c>
      <c r="E15" s="60">
        <f>ROUND(BedDemand!E10*Assumptions!$C$57,0)</f>
        <v/>
      </c>
      <c r="F15" s="60">
        <f>ROUND(BedDemand!F10*Assumptions!$C$57,0)</f>
        <v/>
      </c>
      <c r="G15" s="60">
        <f>ROUND(BedDemand!G10*Assumptions!$C$57,0)</f>
        <v/>
      </c>
      <c r="H15" s="60">
        <f>ROUND(BedDemand!H10*Assumptions!$C$57,0)</f>
        <v/>
      </c>
      <c r="I15" s="60">
        <f>ROUND(BedDemand!I10*Assumptions!$C$57,0)</f>
        <v/>
      </c>
      <c r="J15" s="60">
        <f>ROUND(BedDemand!J10*Assumptions!$C$57,0)</f>
        <v/>
      </c>
      <c r="K15" s="60">
        <f>ROUND(BedDemand!K10*Assumptions!$C$57,0)</f>
        <v/>
      </c>
      <c r="L15" s="60">
        <f>ROUND(BedDemand!L10*Assumptions!$C$57,0)</f>
        <v/>
      </c>
      <c r="M15" s="60">
        <f>ROUND(BedDemand!M10*Assumptions!$C$57,0)</f>
        <v/>
      </c>
      <c r="N15" s="60">
        <f>ROUND(BedDemand!N10*Assumptions!$C$57,0)</f>
        <v/>
      </c>
      <c r="O15" s="60">
        <f>ROUND(BedDemand!O10*Assumptions!$C$57,0)</f>
        <v/>
      </c>
      <c r="P15" s="60">
        <f>ROUND(BedDemand!P10*Assumptions!$C$57,0)</f>
        <v/>
      </c>
      <c r="Q15" s="60">
        <f>ROUND(BedDemand!Q10*Assumptions!$C$57,0)</f>
        <v/>
      </c>
      <c r="R15" s="60">
        <f>ROUND(BedDemand!R10*Assumptions!$C$57,0)</f>
        <v/>
      </c>
      <c r="S15" s="60">
        <f>ROUND(BedDemand!S10*Assumptions!$C$57,0)</f>
        <v/>
      </c>
      <c r="T15" s="60">
        <f>ROUND(BedDemand!T10*Assumptions!$C$57,0)</f>
        <v/>
      </c>
      <c r="U15" s="60">
        <f>ROUND(BedDemand!U10*Assumptions!$C$57,0)</f>
        <v/>
      </c>
      <c r="V15" s="60">
        <f>ROUND(BedDemand!V10*Assumptions!$C$57,0)</f>
        <v/>
      </c>
      <c r="W15" s="60">
        <f>ROUND(BedDemand!W10*Assumptions!$C$57,0)</f>
        <v/>
      </c>
      <c r="X15" s="60">
        <f>ROUND(BedDemand!X10*Assumptions!$C$57,0)</f>
        <v/>
      </c>
      <c r="Y15" s="60">
        <f>ROUND(BedDemand!Y10*Assumptions!$C$57,0)</f>
        <v/>
      </c>
      <c r="Z15" s="60">
        <f>ROUND(BedDemand!Z10*Assumptions!$C$57,0)</f>
        <v/>
      </c>
      <c r="AA15" s="60">
        <f>ROUND(BedDemand!AA10*Assumptions!$C$57,0)</f>
        <v/>
      </c>
      <c r="AB15" s="60">
        <f>ROUND(BedDemand!AB10*Assumptions!$C$57,0)</f>
        <v/>
      </c>
      <c r="AC15" s="60">
        <f>ROUND(BedDemand!AC10*Assumptions!$C$57,0)</f>
        <v/>
      </c>
      <c r="AD15" s="60">
        <f>ROUND(BedDemand!AD10*Assumptions!$C$57,0)</f>
        <v/>
      </c>
      <c r="AE15" s="60">
        <f>ROUND(BedDemand!AE10*Assumptions!$C$57,0)</f>
        <v/>
      </c>
      <c r="AF15" s="60">
        <f>ROUND(BedDemand!AF10*Assumptions!$C$57,0)</f>
        <v/>
      </c>
      <c r="AG15" s="60">
        <f>ROUND(BedDemand!AG10*Assumptions!$C$57,0)</f>
        <v/>
      </c>
      <c r="AH15" s="60">
        <f>ROUND(BedDemand!AH10*Assumptions!$C$57,0)</f>
        <v/>
      </c>
      <c r="AI15" s="60">
        <f>ROUND(BedDemand!AI10*Assumptions!$C$57,0)</f>
        <v/>
      </c>
      <c r="AJ15" s="60">
        <f>ROUND(BedDemand!AJ10*Assumptions!$C$57,0)</f>
        <v/>
      </c>
      <c r="AK15" s="60">
        <f>ROUND(BedDemand!AK10*Assumptions!$C$57,0)</f>
        <v/>
      </c>
      <c r="AL15" s="60">
        <f>ROUND(BedDemand!AL10*Assumptions!$C$57,0)</f>
        <v/>
      </c>
      <c r="AM15" s="60">
        <f>ROUND(BedDemand!AM10*Assumptions!$C$57,0)</f>
        <v/>
      </c>
      <c r="AN15" s="60">
        <f>ROUND(BedDemand!AN10*Assumptions!$C$57,0)</f>
        <v/>
      </c>
      <c r="AP15" s="57" t="inlineStr">
        <is>
          <t>kW at design outside temperature. Verify against the module supplier's U-values and the fuel you actually use.</t>
        </is>
      </c>
    </row>
    <row r="16" ht="24" customHeight="1">
      <c r="B16" s="4" t="inlineStr">
        <is>
          <t>Diversified demand</t>
        </is>
      </c>
      <c r="C16" s="60">
        <f>ROUND(C14*Assumptions!$C$55,0)</f>
        <v/>
      </c>
      <c r="D16" s="60">
        <f>ROUND(D14*Assumptions!$C$55,0)</f>
        <v/>
      </c>
      <c r="E16" s="60">
        <f>ROUND(E14*Assumptions!$C$55,0)</f>
        <v/>
      </c>
      <c r="F16" s="60">
        <f>ROUND(F14*Assumptions!$C$55,0)</f>
        <v/>
      </c>
      <c r="G16" s="60">
        <f>ROUND(G14*Assumptions!$C$55,0)</f>
        <v/>
      </c>
      <c r="H16" s="60">
        <f>ROUND(H14*Assumptions!$C$55,0)</f>
        <v/>
      </c>
      <c r="I16" s="60">
        <f>ROUND(I14*Assumptions!$C$55,0)</f>
        <v/>
      </c>
      <c r="J16" s="60">
        <f>ROUND(J14*Assumptions!$C$55,0)</f>
        <v/>
      </c>
      <c r="K16" s="60">
        <f>ROUND(K14*Assumptions!$C$55,0)</f>
        <v/>
      </c>
      <c r="L16" s="60">
        <f>ROUND(L14*Assumptions!$C$55,0)</f>
        <v/>
      </c>
      <c r="M16" s="60">
        <f>ROUND(M14*Assumptions!$C$55,0)</f>
        <v/>
      </c>
      <c r="N16" s="60">
        <f>ROUND(N14*Assumptions!$C$55,0)</f>
        <v/>
      </c>
      <c r="O16" s="60">
        <f>ROUND(O14*Assumptions!$C$55,0)</f>
        <v/>
      </c>
      <c r="P16" s="60">
        <f>ROUND(P14*Assumptions!$C$55,0)</f>
        <v/>
      </c>
      <c r="Q16" s="60">
        <f>ROUND(Q14*Assumptions!$C$55,0)</f>
        <v/>
      </c>
      <c r="R16" s="60">
        <f>ROUND(R14*Assumptions!$C$55,0)</f>
        <v/>
      </c>
      <c r="S16" s="60">
        <f>ROUND(S14*Assumptions!$C$55,0)</f>
        <v/>
      </c>
      <c r="T16" s="60">
        <f>ROUND(T14*Assumptions!$C$55,0)</f>
        <v/>
      </c>
      <c r="U16" s="60">
        <f>ROUND(U14*Assumptions!$C$55,0)</f>
        <v/>
      </c>
      <c r="V16" s="60">
        <f>ROUND(V14*Assumptions!$C$55,0)</f>
        <v/>
      </c>
      <c r="W16" s="60">
        <f>ROUND(W14*Assumptions!$C$55,0)</f>
        <v/>
      </c>
      <c r="X16" s="60">
        <f>ROUND(X14*Assumptions!$C$55,0)</f>
        <v/>
      </c>
      <c r="Y16" s="60">
        <f>ROUND(Y14*Assumptions!$C$55,0)</f>
        <v/>
      </c>
      <c r="Z16" s="60">
        <f>ROUND(Z14*Assumptions!$C$55,0)</f>
        <v/>
      </c>
      <c r="AA16" s="60">
        <f>ROUND(AA14*Assumptions!$C$55,0)</f>
        <v/>
      </c>
      <c r="AB16" s="60">
        <f>ROUND(AB14*Assumptions!$C$55,0)</f>
        <v/>
      </c>
      <c r="AC16" s="60">
        <f>ROUND(AC14*Assumptions!$C$55,0)</f>
        <v/>
      </c>
      <c r="AD16" s="60">
        <f>ROUND(AD14*Assumptions!$C$55,0)</f>
        <v/>
      </c>
      <c r="AE16" s="60">
        <f>ROUND(AE14*Assumptions!$C$55,0)</f>
        <v/>
      </c>
      <c r="AF16" s="60">
        <f>ROUND(AF14*Assumptions!$C$55,0)</f>
        <v/>
      </c>
      <c r="AG16" s="60">
        <f>ROUND(AG14*Assumptions!$C$55,0)</f>
        <v/>
      </c>
      <c r="AH16" s="60">
        <f>ROUND(AH14*Assumptions!$C$55,0)</f>
        <v/>
      </c>
      <c r="AI16" s="60">
        <f>ROUND(AI14*Assumptions!$C$55,0)</f>
        <v/>
      </c>
      <c r="AJ16" s="60">
        <f>ROUND(AJ14*Assumptions!$C$55,0)</f>
        <v/>
      </c>
      <c r="AK16" s="60">
        <f>ROUND(AK14*Assumptions!$C$55,0)</f>
        <v/>
      </c>
      <c r="AL16" s="60">
        <f>ROUND(AL14*Assumptions!$C$55,0)</f>
        <v/>
      </c>
      <c r="AM16" s="60">
        <f>ROUND(AM14*Assumptions!$C$55,0)</f>
        <v/>
      </c>
      <c r="AN16" s="60">
        <f>ROUND(AN14*Assumptions!$C$55,0)</f>
        <v/>
      </c>
      <c r="AP16" s="57" t="inlineStr">
        <is>
          <t>kW. Not every load runs at once. The diversity factor is on Assumptions and needs an engineer's eye.</t>
        </is>
      </c>
    </row>
    <row r="17" ht="24" customHeight="1">
      <c r="B17" s="4" t="inlineStr">
        <is>
          <t>Diversified demand</t>
        </is>
      </c>
      <c r="C17" s="60">
        <f>ROUND(C16/Assumptions!$C$58,0)</f>
        <v/>
      </c>
      <c r="D17" s="60">
        <f>ROUND(D16/Assumptions!$C$58,0)</f>
        <v/>
      </c>
      <c r="E17" s="60">
        <f>ROUND(E16/Assumptions!$C$58,0)</f>
        <v/>
      </c>
      <c r="F17" s="60">
        <f>ROUND(F16/Assumptions!$C$58,0)</f>
        <v/>
      </c>
      <c r="G17" s="60">
        <f>ROUND(G16/Assumptions!$C$58,0)</f>
        <v/>
      </c>
      <c r="H17" s="60">
        <f>ROUND(H16/Assumptions!$C$58,0)</f>
        <v/>
      </c>
      <c r="I17" s="60">
        <f>ROUND(I16/Assumptions!$C$58,0)</f>
        <v/>
      </c>
      <c r="J17" s="60">
        <f>ROUND(J16/Assumptions!$C$58,0)</f>
        <v/>
      </c>
      <c r="K17" s="60">
        <f>ROUND(K16/Assumptions!$C$58,0)</f>
        <v/>
      </c>
      <c r="L17" s="60">
        <f>ROUND(L16/Assumptions!$C$58,0)</f>
        <v/>
      </c>
      <c r="M17" s="60">
        <f>ROUND(M16/Assumptions!$C$58,0)</f>
        <v/>
      </c>
      <c r="N17" s="60">
        <f>ROUND(N16/Assumptions!$C$58,0)</f>
        <v/>
      </c>
      <c r="O17" s="60">
        <f>ROUND(O16/Assumptions!$C$58,0)</f>
        <v/>
      </c>
      <c r="P17" s="60">
        <f>ROUND(P16/Assumptions!$C$58,0)</f>
        <v/>
      </c>
      <c r="Q17" s="60">
        <f>ROUND(Q16/Assumptions!$C$58,0)</f>
        <v/>
      </c>
      <c r="R17" s="60">
        <f>ROUND(R16/Assumptions!$C$58,0)</f>
        <v/>
      </c>
      <c r="S17" s="60">
        <f>ROUND(S16/Assumptions!$C$58,0)</f>
        <v/>
      </c>
      <c r="T17" s="60">
        <f>ROUND(T16/Assumptions!$C$58,0)</f>
        <v/>
      </c>
      <c r="U17" s="60">
        <f>ROUND(U16/Assumptions!$C$58,0)</f>
        <v/>
      </c>
      <c r="V17" s="60">
        <f>ROUND(V16/Assumptions!$C$58,0)</f>
        <v/>
      </c>
      <c r="W17" s="60">
        <f>ROUND(W16/Assumptions!$C$58,0)</f>
        <v/>
      </c>
      <c r="X17" s="60">
        <f>ROUND(X16/Assumptions!$C$58,0)</f>
        <v/>
      </c>
      <c r="Y17" s="60">
        <f>ROUND(Y16/Assumptions!$C$58,0)</f>
        <v/>
      </c>
      <c r="Z17" s="60">
        <f>ROUND(Z16/Assumptions!$C$58,0)</f>
        <v/>
      </c>
      <c r="AA17" s="60">
        <f>ROUND(AA16/Assumptions!$C$58,0)</f>
        <v/>
      </c>
      <c r="AB17" s="60">
        <f>ROUND(AB16/Assumptions!$C$58,0)</f>
        <v/>
      </c>
      <c r="AC17" s="60">
        <f>ROUND(AC16/Assumptions!$C$58,0)</f>
        <v/>
      </c>
      <c r="AD17" s="60">
        <f>ROUND(AD16/Assumptions!$C$58,0)</f>
        <v/>
      </c>
      <c r="AE17" s="60">
        <f>ROUND(AE16/Assumptions!$C$58,0)</f>
        <v/>
      </c>
      <c r="AF17" s="60">
        <f>ROUND(AF16/Assumptions!$C$58,0)</f>
        <v/>
      </c>
      <c r="AG17" s="60">
        <f>ROUND(AG16/Assumptions!$C$58,0)</f>
        <v/>
      </c>
      <c r="AH17" s="60">
        <f>ROUND(AH16/Assumptions!$C$58,0)</f>
        <v/>
      </c>
      <c r="AI17" s="60">
        <f>ROUND(AI16/Assumptions!$C$58,0)</f>
        <v/>
      </c>
      <c r="AJ17" s="60">
        <f>ROUND(AJ16/Assumptions!$C$58,0)</f>
        <v/>
      </c>
      <c r="AK17" s="60">
        <f>ROUND(AK16/Assumptions!$C$58,0)</f>
        <v/>
      </c>
      <c r="AL17" s="60">
        <f>ROUND(AL16/Assumptions!$C$58,0)</f>
        <v/>
      </c>
      <c r="AM17" s="60">
        <f>ROUND(AM16/Assumptions!$C$58,0)</f>
        <v/>
      </c>
      <c r="AN17" s="60">
        <f>ROUND(AN16/Assumptions!$C$58,0)</f>
        <v/>
      </c>
      <c r="AP17" s="57" t="inlineStr">
        <is>
          <t>kVA — the unit a DNO connection or a generator is actually sized in. Getting kW and kVA confused undersizes a village by a fifth.</t>
        </is>
      </c>
    </row>
    <row r="19">
      <c r="B19" s="4" t="inlineStr">
        <is>
          <t>Waste arisings</t>
        </is>
      </c>
      <c r="C19" s="59">
        <f>ROUND(BedDemand!C10*Assumptions!$C$59/1000*30.4,1)</f>
        <v/>
      </c>
      <c r="D19" s="59">
        <f>ROUND(BedDemand!D10*Assumptions!$C$59/1000*30.4,1)</f>
        <v/>
      </c>
      <c r="E19" s="59">
        <f>ROUND(BedDemand!E10*Assumptions!$C$59/1000*30.4,1)</f>
        <v/>
      </c>
      <c r="F19" s="59">
        <f>ROUND(BedDemand!F10*Assumptions!$C$59/1000*30.4,1)</f>
        <v/>
      </c>
      <c r="G19" s="59">
        <f>ROUND(BedDemand!G10*Assumptions!$C$59/1000*30.4,1)</f>
        <v/>
      </c>
      <c r="H19" s="59">
        <f>ROUND(BedDemand!H10*Assumptions!$C$59/1000*30.4,1)</f>
        <v/>
      </c>
      <c r="I19" s="59">
        <f>ROUND(BedDemand!I10*Assumptions!$C$59/1000*30.4,1)</f>
        <v/>
      </c>
      <c r="J19" s="59">
        <f>ROUND(BedDemand!J10*Assumptions!$C$59/1000*30.4,1)</f>
        <v/>
      </c>
      <c r="K19" s="59">
        <f>ROUND(BedDemand!K10*Assumptions!$C$59/1000*30.4,1)</f>
        <v/>
      </c>
      <c r="L19" s="59">
        <f>ROUND(BedDemand!L10*Assumptions!$C$59/1000*30.4,1)</f>
        <v/>
      </c>
      <c r="M19" s="59">
        <f>ROUND(BedDemand!M10*Assumptions!$C$59/1000*30.4,1)</f>
        <v/>
      </c>
      <c r="N19" s="59">
        <f>ROUND(BedDemand!N10*Assumptions!$C$59/1000*30.4,1)</f>
        <v/>
      </c>
      <c r="O19" s="59">
        <f>ROUND(BedDemand!O10*Assumptions!$C$59/1000*30.4,1)</f>
        <v/>
      </c>
      <c r="P19" s="59">
        <f>ROUND(BedDemand!P10*Assumptions!$C$59/1000*30.4,1)</f>
        <v/>
      </c>
      <c r="Q19" s="59">
        <f>ROUND(BedDemand!Q10*Assumptions!$C$59/1000*30.4,1)</f>
        <v/>
      </c>
      <c r="R19" s="59">
        <f>ROUND(BedDemand!R10*Assumptions!$C$59/1000*30.4,1)</f>
        <v/>
      </c>
      <c r="S19" s="59">
        <f>ROUND(BedDemand!S10*Assumptions!$C$59/1000*30.4,1)</f>
        <v/>
      </c>
      <c r="T19" s="59">
        <f>ROUND(BedDemand!T10*Assumptions!$C$59/1000*30.4,1)</f>
        <v/>
      </c>
      <c r="U19" s="59">
        <f>ROUND(BedDemand!U10*Assumptions!$C$59/1000*30.4,1)</f>
        <v/>
      </c>
      <c r="V19" s="59">
        <f>ROUND(BedDemand!V10*Assumptions!$C$59/1000*30.4,1)</f>
        <v/>
      </c>
      <c r="W19" s="59">
        <f>ROUND(BedDemand!W10*Assumptions!$C$59/1000*30.4,1)</f>
        <v/>
      </c>
      <c r="X19" s="59">
        <f>ROUND(BedDemand!X10*Assumptions!$C$59/1000*30.4,1)</f>
        <v/>
      </c>
      <c r="Y19" s="59">
        <f>ROUND(BedDemand!Y10*Assumptions!$C$59/1000*30.4,1)</f>
        <v/>
      </c>
      <c r="Z19" s="59">
        <f>ROUND(BedDemand!Z10*Assumptions!$C$59/1000*30.4,1)</f>
        <v/>
      </c>
      <c r="AA19" s="59">
        <f>ROUND(BedDemand!AA10*Assumptions!$C$59/1000*30.4,1)</f>
        <v/>
      </c>
      <c r="AB19" s="59">
        <f>ROUND(BedDemand!AB10*Assumptions!$C$59/1000*30.4,1)</f>
        <v/>
      </c>
      <c r="AC19" s="59">
        <f>ROUND(BedDemand!AC10*Assumptions!$C$59/1000*30.4,1)</f>
        <v/>
      </c>
      <c r="AD19" s="59">
        <f>ROUND(BedDemand!AD10*Assumptions!$C$59/1000*30.4,1)</f>
        <v/>
      </c>
      <c r="AE19" s="59">
        <f>ROUND(BedDemand!AE10*Assumptions!$C$59/1000*30.4,1)</f>
        <v/>
      </c>
      <c r="AF19" s="59">
        <f>ROUND(BedDemand!AF10*Assumptions!$C$59/1000*30.4,1)</f>
        <v/>
      </c>
      <c r="AG19" s="59">
        <f>ROUND(BedDemand!AG10*Assumptions!$C$59/1000*30.4,1)</f>
        <v/>
      </c>
      <c r="AH19" s="59">
        <f>ROUND(BedDemand!AH10*Assumptions!$C$59/1000*30.4,1)</f>
        <v/>
      </c>
      <c r="AI19" s="59">
        <f>ROUND(BedDemand!AI10*Assumptions!$C$59/1000*30.4,1)</f>
        <v/>
      </c>
      <c r="AJ19" s="59">
        <f>ROUND(BedDemand!AJ10*Assumptions!$C$59/1000*30.4,1)</f>
        <v/>
      </c>
      <c r="AK19" s="59">
        <f>ROUND(BedDemand!AK10*Assumptions!$C$59/1000*30.4,1)</f>
        <v/>
      </c>
      <c r="AL19" s="59">
        <f>ROUND(BedDemand!AL10*Assumptions!$C$59/1000*30.4,1)</f>
        <v/>
      </c>
      <c r="AM19" s="59">
        <f>ROUND(BedDemand!AM10*Assumptions!$C$59/1000*30.4,1)</f>
        <v/>
      </c>
      <c r="AN19" s="59">
        <f>ROUND(BedDemand!AN10*Assumptions!$C$59/1000*30.4,1)</f>
        <v/>
      </c>
      <c r="AP19" s="57" t="inlineStr">
        <is>
          <t>tonnes/month. Residential plus catering.</t>
        </is>
      </c>
    </row>
    <row r="20">
      <c r="B20" s="4" t="inlineStr">
        <is>
          <t xml:space="preserve">  recycled or diverted</t>
        </is>
      </c>
      <c r="C20" s="59">
        <f>ROUND(C19*Assumptions!$C$60,1)</f>
        <v/>
      </c>
      <c r="D20" s="59">
        <f>ROUND(D19*Assumptions!$C$60,1)</f>
        <v/>
      </c>
      <c r="E20" s="59">
        <f>ROUND(E19*Assumptions!$C$60,1)</f>
        <v/>
      </c>
      <c r="F20" s="59">
        <f>ROUND(F19*Assumptions!$C$60,1)</f>
        <v/>
      </c>
      <c r="G20" s="59">
        <f>ROUND(G19*Assumptions!$C$60,1)</f>
        <v/>
      </c>
      <c r="H20" s="59">
        <f>ROUND(H19*Assumptions!$C$60,1)</f>
        <v/>
      </c>
      <c r="I20" s="59">
        <f>ROUND(I19*Assumptions!$C$60,1)</f>
        <v/>
      </c>
      <c r="J20" s="59">
        <f>ROUND(J19*Assumptions!$C$60,1)</f>
        <v/>
      </c>
      <c r="K20" s="59">
        <f>ROUND(K19*Assumptions!$C$60,1)</f>
        <v/>
      </c>
      <c r="L20" s="59">
        <f>ROUND(L19*Assumptions!$C$60,1)</f>
        <v/>
      </c>
      <c r="M20" s="59">
        <f>ROUND(M19*Assumptions!$C$60,1)</f>
        <v/>
      </c>
      <c r="N20" s="59">
        <f>ROUND(N19*Assumptions!$C$60,1)</f>
        <v/>
      </c>
      <c r="O20" s="59">
        <f>ROUND(O19*Assumptions!$C$60,1)</f>
        <v/>
      </c>
      <c r="P20" s="59">
        <f>ROUND(P19*Assumptions!$C$60,1)</f>
        <v/>
      </c>
      <c r="Q20" s="59">
        <f>ROUND(Q19*Assumptions!$C$60,1)</f>
        <v/>
      </c>
      <c r="R20" s="59">
        <f>ROUND(R19*Assumptions!$C$60,1)</f>
        <v/>
      </c>
      <c r="S20" s="59">
        <f>ROUND(S19*Assumptions!$C$60,1)</f>
        <v/>
      </c>
      <c r="T20" s="59">
        <f>ROUND(T19*Assumptions!$C$60,1)</f>
        <v/>
      </c>
      <c r="U20" s="59">
        <f>ROUND(U19*Assumptions!$C$60,1)</f>
        <v/>
      </c>
      <c r="V20" s="59">
        <f>ROUND(V19*Assumptions!$C$60,1)</f>
        <v/>
      </c>
      <c r="W20" s="59">
        <f>ROUND(W19*Assumptions!$C$60,1)</f>
        <v/>
      </c>
      <c r="X20" s="59">
        <f>ROUND(X19*Assumptions!$C$60,1)</f>
        <v/>
      </c>
      <c r="Y20" s="59">
        <f>ROUND(Y19*Assumptions!$C$60,1)</f>
        <v/>
      </c>
      <c r="Z20" s="59">
        <f>ROUND(Z19*Assumptions!$C$60,1)</f>
        <v/>
      </c>
      <c r="AA20" s="59">
        <f>ROUND(AA19*Assumptions!$C$60,1)</f>
        <v/>
      </c>
      <c r="AB20" s="59">
        <f>ROUND(AB19*Assumptions!$C$60,1)</f>
        <v/>
      </c>
      <c r="AC20" s="59">
        <f>ROUND(AC19*Assumptions!$C$60,1)</f>
        <v/>
      </c>
      <c r="AD20" s="59">
        <f>ROUND(AD19*Assumptions!$C$60,1)</f>
        <v/>
      </c>
      <c r="AE20" s="59">
        <f>ROUND(AE19*Assumptions!$C$60,1)</f>
        <v/>
      </c>
      <c r="AF20" s="59">
        <f>ROUND(AF19*Assumptions!$C$60,1)</f>
        <v/>
      </c>
      <c r="AG20" s="59">
        <f>ROUND(AG19*Assumptions!$C$60,1)</f>
        <v/>
      </c>
      <c r="AH20" s="59">
        <f>ROUND(AH19*Assumptions!$C$60,1)</f>
        <v/>
      </c>
      <c r="AI20" s="59">
        <f>ROUND(AI19*Assumptions!$C$60,1)</f>
        <v/>
      </c>
      <c r="AJ20" s="59">
        <f>ROUND(AJ19*Assumptions!$C$60,1)</f>
        <v/>
      </c>
      <c r="AK20" s="59">
        <f>ROUND(AK19*Assumptions!$C$60,1)</f>
        <v/>
      </c>
      <c r="AL20" s="59">
        <f>ROUND(AL19*Assumptions!$C$60,1)</f>
        <v/>
      </c>
      <c r="AM20" s="59">
        <f>ROUND(AM19*Assumptions!$C$60,1)</f>
        <v/>
      </c>
      <c r="AN20" s="59">
        <f>ROUND(AN19*Assumptions!$C$60,1)</f>
        <v/>
      </c>
      <c r="AP20" s="57" t="inlineStr">
        <is>
          <t>tonnes/month against the target on Assumptions.</t>
        </is>
      </c>
    </row>
    <row r="21" ht="24" customHeight="1">
      <c r="B21" s="4" t="inlineStr">
        <is>
          <t>General waste collections</t>
        </is>
      </c>
      <c r="C21" s="37">
        <f>ROUNDUP(C19*1000/1100/12,0)</f>
        <v/>
      </c>
      <c r="D21" s="37">
        <f>ROUNDUP(D19*1000/1100/12,0)</f>
        <v/>
      </c>
      <c r="E21" s="37">
        <f>ROUNDUP(E19*1000/1100/12,0)</f>
        <v/>
      </c>
      <c r="F21" s="37">
        <f>ROUNDUP(F19*1000/1100/12,0)</f>
        <v/>
      </c>
      <c r="G21" s="37">
        <f>ROUNDUP(G19*1000/1100/12,0)</f>
        <v/>
      </c>
      <c r="H21" s="37">
        <f>ROUNDUP(H19*1000/1100/12,0)</f>
        <v/>
      </c>
      <c r="I21" s="37">
        <f>ROUNDUP(I19*1000/1100/12,0)</f>
        <v/>
      </c>
      <c r="J21" s="37">
        <f>ROUNDUP(J19*1000/1100/12,0)</f>
        <v/>
      </c>
      <c r="K21" s="37">
        <f>ROUNDUP(K19*1000/1100/12,0)</f>
        <v/>
      </c>
      <c r="L21" s="37">
        <f>ROUNDUP(L19*1000/1100/12,0)</f>
        <v/>
      </c>
      <c r="M21" s="37">
        <f>ROUNDUP(M19*1000/1100/12,0)</f>
        <v/>
      </c>
      <c r="N21" s="37">
        <f>ROUNDUP(N19*1000/1100/12,0)</f>
        <v/>
      </c>
      <c r="O21" s="37">
        <f>ROUNDUP(O19*1000/1100/12,0)</f>
        <v/>
      </c>
      <c r="P21" s="37">
        <f>ROUNDUP(P19*1000/1100/12,0)</f>
        <v/>
      </c>
      <c r="Q21" s="37">
        <f>ROUNDUP(Q19*1000/1100/12,0)</f>
        <v/>
      </c>
      <c r="R21" s="37">
        <f>ROUNDUP(R19*1000/1100/12,0)</f>
        <v/>
      </c>
      <c r="S21" s="37">
        <f>ROUNDUP(S19*1000/1100/12,0)</f>
        <v/>
      </c>
      <c r="T21" s="37">
        <f>ROUNDUP(T19*1000/1100/12,0)</f>
        <v/>
      </c>
      <c r="U21" s="37">
        <f>ROUNDUP(U19*1000/1100/12,0)</f>
        <v/>
      </c>
      <c r="V21" s="37">
        <f>ROUNDUP(V19*1000/1100/12,0)</f>
        <v/>
      </c>
      <c r="W21" s="37">
        <f>ROUNDUP(W19*1000/1100/12,0)</f>
        <v/>
      </c>
      <c r="X21" s="37">
        <f>ROUNDUP(X19*1000/1100/12,0)</f>
        <v/>
      </c>
      <c r="Y21" s="37">
        <f>ROUNDUP(Y19*1000/1100/12,0)</f>
        <v/>
      </c>
      <c r="Z21" s="37">
        <f>ROUNDUP(Z19*1000/1100/12,0)</f>
        <v/>
      </c>
      <c r="AA21" s="37">
        <f>ROUNDUP(AA19*1000/1100/12,0)</f>
        <v/>
      </c>
      <c r="AB21" s="37">
        <f>ROUNDUP(AB19*1000/1100/12,0)</f>
        <v/>
      </c>
      <c r="AC21" s="37">
        <f>ROUNDUP(AC19*1000/1100/12,0)</f>
        <v/>
      </c>
      <c r="AD21" s="37">
        <f>ROUNDUP(AD19*1000/1100/12,0)</f>
        <v/>
      </c>
      <c r="AE21" s="37">
        <f>ROUNDUP(AE19*1000/1100/12,0)</f>
        <v/>
      </c>
      <c r="AF21" s="37">
        <f>ROUNDUP(AF19*1000/1100/12,0)</f>
        <v/>
      </c>
      <c r="AG21" s="37">
        <f>ROUNDUP(AG19*1000/1100/12,0)</f>
        <v/>
      </c>
      <c r="AH21" s="37">
        <f>ROUNDUP(AH19*1000/1100/12,0)</f>
        <v/>
      </c>
      <c r="AI21" s="37">
        <f>ROUNDUP(AI19*1000/1100/12,0)</f>
        <v/>
      </c>
      <c r="AJ21" s="37">
        <f>ROUNDUP(AJ19*1000/1100/12,0)</f>
        <v/>
      </c>
      <c r="AK21" s="37">
        <f>ROUNDUP(AK19*1000/1100/12,0)</f>
        <v/>
      </c>
      <c r="AL21" s="37">
        <f>ROUNDUP(AL19*1000/1100/12,0)</f>
        <v/>
      </c>
      <c r="AM21" s="37">
        <f>ROUNDUP(AM19*1000/1100/12,0)</f>
        <v/>
      </c>
      <c r="AN21" s="37">
        <f>ROUNDUP(AN19*1000/1100/12,0)</f>
        <v/>
      </c>
      <c r="AP21" s="57" t="inlineStr">
        <is>
          <t>collections/month at 1100 l bins, twelve per collection. Indicative — set against the contractor's actual round.</t>
        </is>
      </c>
    </row>
    <row r="23">
      <c r="B23" s="39" t="inlineStr">
        <is>
          <t>PEAK — WHAT YOU DESIGN AND PROCURE AGAINST</t>
        </is>
      </c>
      <c r="C23" s="40" t="n"/>
      <c r="D23" s="40" t="n"/>
      <c r="E23" s="40" t="n"/>
      <c r="F23" s="40" t="n"/>
      <c r="G23" s="40" t="n"/>
      <c r="H23" s="40" t="n"/>
      <c r="I23" s="40" t="n"/>
    </row>
    <row r="24">
      <c r="B24" s="4" t="inlineStr">
        <is>
          <t>Peak water demand</t>
        </is>
      </c>
      <c r="C24" s="61">
        <f>MAX(C9:AN9)</f>
        <v/>
      </c>
      <c r="E24" s="3" t="inlineStr">
        <is>
          <t>m³/day — the figure that goes on the water undertaker's enquiry.</t>
        </is>
      </c>
    </row>
    <row r="25">
      <c r="B25" s="4" t="inlineStr">
        <is>
          <t>Peak foul return</t>
        </is>
      </c>
      <c r="C25" s="61">
        <f>MAX(C11:AN11)</f>
        <v/>
      </c>
      <c r="E25" s="3" t="inlineStr">
        <is>
          <t>m³/day — treatment plant or tanker capacity.</t>
        </is>
      </c>
    </row>
    <row r="26">
      <c r="B26" s="4" t="inlineStr">
        <is>
          <t>Peak connected load</t>
        </is>
      </c>
      <c r="C26" s="62">
        <f>MAX(C14:AN14)</f>
        <v/>
      </c>
      <c r="E26" s="3" t="inlineStr">
        <is>
          <t>kW.</t>
        </is>
      </c>
    </row>
    <row r="27">
      <c r="B27" s="4" t="inlineStr">
        <is>
          <t>Peak diversified demand</t>
        </is>
      </c>
      <c r="C27" s="62">
        <f>MAX(C17:AN17)</f>
        <v/>
      </c>
      <c r="E27" s="3" t="inlineStr">
        <is>
          <t>kVA — the figure that goes on the DNO application or the generator enquiry.</t>
        </is>
      </c>
    </row>
    <row r="28">
      <c r="B28" s="4" t="inlineStr">
        <is>
          <t>Peak waste arisings</t>
        </is>
      </c>
      <c r="C28" s="61">
        <f>MAX(C19:AN19)</f>
        <v/>
      </c>
      <c r="E28" s="3" t="inlineStr">
        <is>
          <t>tonnes/month.</t>
        </is>
      </c>
    </row>
    <row r="30">
      <c r="B30" s="63" t="inlineStr">
        <is>
          <t>Every figure on this sheet is a first-pass planning figure requiring validation by a competent person before it is procured against.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AP24"/>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4" customWidth="1" min="2" max="2"/>
    <col width="7.2" customWidth="1" min="3" max="3"/>
    <col width="7.2" customWidth="1" min="4" max="4"/>
    <col width="7.2" customWidth="1" min="5" max="5"/>
    <col width="7.2" customWidth="1" min="6" max="6"/>
    <col width="7.2" customWidth="1" min="7" max="7"/>
    <col width="7.2" customWidth="1" min="8" max="8"/>
    <col width="7.2" customWidth="1" min="9" max="9"/>
    <col width="7.2" customWidth="1" min="10" max="10"/>
    <col width="7.2" customWidth="1" min="11" max="11"/>
    <col width="7.2" customWidth="1" min="12" max="12"/>
    <col width="7.2" customWidth="1" min="13" max="13"/>
    <col width="7.2" customWidth="1" min="14" max="14"/>
    <col width="7.2" customWidth="1" min="15" max="15"/>
    <col width="7.2" customWidth="1" min="16" max="16"/>
    <col width="7.2" customWidth="1" min="17" max="17"/>
    <col width="7.2" customWidth="1" min="18" max="18"/>
    <col width="7.2" customWidth="1" min="19" max="19"/>
    <col width="7.2" customWidth="1" min="20" max="20"/>
    <col width="7.2" customWidth="1" min="21" max="21"/>
    <col width="7.2" customWidth="1" min="22" max="22"/>
    <col width="7.2" customWidth="1" min="23" max="23"/>
    <col width="7.2" customWidth="1" min="24" max="24"/>
    <col width="7.2" customWidth="1" min="25" max="25"/>
    <col width="7.2" customWidth="1" min="26" max="26"/>
    <col width="7.2" customWidth="1" min="27" max="27"/>
    <col width="7.2" customWidth="1" min="28" max="28"/>
    <col width="7.2" customWidth="1" min="29" max="29"/>
    <col width="7.2" customWidth="1" min="30" max="30"/>
    <col width="7.2" customWidth="1" min="31" max="31"/>
    <col width="7.2" customWidth="1" min="32" max="32"/>
    <col width="7.2" customWidth="1" min="33" max="33"/>
    <col width="7.2" customWidth="1" min="34" max="34"/>
    <col width="7.2" customWidth="1" min="35" max="35"/>
    <col width="7.2" customWidth="1" min="36" max="36"/>
    <col width="7.2" customWidth="1" min="37" max="37"/>
    <col width="7.2" customWidth="1" min="38" max="38"/>
    <col width="7.2" customWidth="1" min="39" max="39"/>
    <col width="7.2" customWidth="1" min="40" max="40"/>
    <col width="62" customWidth="1" min="42" max="42"/>
  </cols>
  <sheetData>
    <row r="2">
      <c r="B2" s="1" t="inlineStr">
        <is>
          <t>TRANSPORT — MOVING THE VILLAGE TO SITE AND BACK</t>
        </is>
      </c>
    </row>
    <row r="3">
      <c r="B3" s="3" t="inlineStr">
        <is>
          <t>A village that cannot get its people to the gate on time is an expensive dormitory.</t>
        </is>
      </c>
    </row>
    <row r="5">
      <c r="B5" s="6" t="inlineStr">
        <is>
          <t>Month</t>
        </is>
      </c>
      <c r="C5" s="36">
        <f>Workforce!C5</f>
        <v/>
      </c>
      <c r="D5" s="36">
        <f>Workforce!D5</f>
        <v/>
      </c>
      <c r="E5" s="36">
        <f>Workforce!E5</f>
        <v/>
      </c>
      <c r="F5" s="36">
        <f>Workforce!F5</f>
        <v/>
      </c>
      <c r="G5" s="36">
        <f>Workforce!G5</f>
        <v/>
      </c>
      <c r="H5" s="36">
        <f>Workforce!H5</f>
        <v/>
      </c>
      <c r="I5" s="36">
        <f>Workforce!I5</f>
        <v/>
      </c>
      <c r="J5" s="36">
        <f>Workforce!J5</f>
        <v/>
      </c>
      <c r="K5" s="36">
        <f>Workforce!K5</f>
        <v/>
      </c>
      <c r="L5" s="36">
        <f>Workforce!L5</f>
        <v/>
      </c>
      <c r="M5" s="36">
        <f>Workforce!M5</f>
        <v/>
      </c>
      <c r="N5" s="36">
        <f>Workforce!N5</f>
        <v/>
      </c>
      <c r="O5" s="36">
        <f>Workforce!O5</f>
        <v/>
      </c>
      <c r="P5" s="36">
        <f>Workforce!P5</f>
        <v/>
      </c>
      <c r="Q5" s="36">
        <f>Workforce!Q5</f>
        <v/>
      </c>
      <c r="R5" s="36">
        <f>Workforce!R5</f>
        <v/>
      </c>
      <c r="S5" s="36">
        <f>Workforce!S5</f>
        <v/>
      </c>
      <c r="T5" s="36">
        <f>Workforce!T5</f>
        <v/>
      </c>
      <c r="U5" s="36">
        <f>Workforce!U5</f>
        <v/>
      </c>
      <c r="V5" s="36">
        <f>Workforce!V5</f>
        <v/>
      </c>
      <c r="W5" s="36">
        <f>Workforce!W5</f>
        <v/>
      </c>
      <c r="X5" s="36">
        <f>Workforce!X5</f>
        <v/>
      </c>
      <c r="Y5" s="36">
        <f>Workforce!Y5</f>
        <v/>
      </c>
      <c r="Z5" s="36">
        <f>Workforce!Z5</f>
        <v/>
      </c>
      <c r="AA5" s="36">
        <f>Workforce!AA5</f>
        <v/>
      </c>
      <c r="AB5" s="36">
        <f>Workforce!AB5</f>
        <v/>
      </c>
      <c r="AC5" s="36">
        <f>Workforce!AC5</f>
        <v/>
      </c>
      <c r="AD5" s="36">
        <f>Workforce!AD5</f>
        <v/>
      </c>
      <c r="AE5" s="36">
        <f>Workforce!AE5</f>
        <v/>
      </c>
      <c r="AF5" s="36">
        <f>Workforce!AF5</f>
        <v/>
      </c>
      <c r="AG5" s="36">
        <f>Workforce!AG5</f>
        <v/>
      </c>
      <c r="AH5" s="36">
        <f>Workforce!AH5</f>
        <v/>
      </c>
      <c r="AI5" s="36">
        <f>Workforce!AI5</f>
        <v/>
      </c>
      <c r="AJ5" s="36">
        <f>Workforce!AJ5</f>
        <v/>
      </c>
      <c r="AK5" s="36">
        <f>Workforce!AK5</f>
        <v/>
      </c>
      <c r="AL5" s="36">
        <f>Workforce!AL5</f>
        <v/>
      </c>
      <c r="AM5" s="36">
        <f>Workforce!AM5</f>
        <v/>
      </c>
      <c r="AN5" s="36">
        <f>Workforce!AN5</f>
        <v/>
      </c>
      <c r="AP5" s="6" t="inlineStr">
        <is>
          <t>Basis, and what to verify</t>
        </is>
      </c>
    </row>
    <row r="6">
      <c r="B6" s="6" t="inlineStr">
        <is>
          <t>Month number</t>
        </is>
      </c>
      <c r="C6" s="32" t="n">
        <v>1</v>
      </c>
      <c r="D6" s="32" t="n">
        <v>2</v>
      </c>
      <c r="E6" s="32" t="n">
        <v>3</v>
      </c>
      <c r="F6" s="32" t="n">
        <v>4</v>
      </c>
      <c r="G6" s="32" t="n">
        <v>5</v>
      </c>
      <c r="H6" s="32" t="n">
        <v>6</v>
      </c>
      <c r="I6" s="32" t="n">
        <v>7</v>
      </c>
      <c r="J6" s="32" t="n">
        <v>8</v>
      </c>
      <c r="K6" s="32" t="n">
        <v>9</v>
      </c>
      <c r="L6" s="32" t="n">
        <v>10</v>
      </c>
      <c r="M6" s="32" t="n">
        <v>11</v>
      </c>
      <c r="N6" s="32" t="n">
        <v>12</v>
      </c>
      <c r="O6" s="32" t="n">
        <v>13</v>
      </c>
      <c r="P6" s="32" t="n">
        <v>14</v>
      </c>
      <c r="Q6" s="32" t="n">
        <v>15</v>
      </c>
      <c r="R6" s="32" t="n">
        <v>16</v>
      </c>
      <c r="S6" s="32" t="n">
        <v>17</v>
      </c>
      <c r="T6" s="32" t="n">
        <v>18</v>
      </c>
      <c r="U6" s="32" t="n">
        <v>19</v>
      </c>
      <c r="V6" s="32" t="n">
        <v>20</v>
      </c>
      <c r="W6" s="32" t="n">
        <v>21</v>
      </c>
      <c r="X6" s="32" t="n">
        <v>22</v>
      </c>
      <c r="Y6" s="32" t="n">
        <v>23</v>
      </c>
      <c r="Z6" s="32" t="n">
        <v>24</v>
      </c>
      <c r="AA6" s="32" t="n">
        <v>25</v>
      </c>
      <c r="AB6" s="32" t="n">
        <v>26</v>
      </c>
      <c r="AC6" s="32" t="n">
        <v>27</v>
      </c>
      <c r="AD6" s="32" t="n">
        <v>28</v>
      </c>
      <c r="AE6" s="32" t="n">
        <v>29</v>
      </c>
      <c r="AF6" s="32" t="n">
        <v>30</v>
      </c>
      <c r="AG6" s="32" t="n">
        <v>31</v>
      </c>
      <c r="AH6" s="32" t="n">
        <v>32</v>
      </c>
      <c r="AI6" s="32" t="n">
        <v>33</v>
      </c>
      <c r="AJ6" s="32" t="n">
        <v>34</v>
      </c>
      <c r="AK6" s="32" t="n">
        <v>35</v>
      </c>
      <c r="AL6" s="32" t="n">
        <v>36</v>
      </c>
      <c r="AM6" s="32" t="n">
        <v>37</v>
      </c>
      <c r="AN6" s="32" t="n">
        <v>38</v>
      </c>
    </row>
    <row r="7">
      <c r="B7" s="6" t="inlineStr">
        <is>
          <t>Residents in village</t>
        </is>
      </c>
      <c r="C7" s="58" t="inlineStr">
        <is>
          <t>BedDemand!C10</t>
        </is>
      </c>
      <c r="D7" s="58" t="inlineStr">
        <is>
          <t>BedDemand!D10</t>
        </is>
      </c>
      <c r="E7" s="58" t="inlineStr">
        <is>
          <t>BedDemand!E10</t>
        </is>
      </c>
      <c r="F7" s="58" t="inlineStr">
        <is>
          <t>BedDemand!F10</t>
        </is>
      </c>
      <c r="G7" s="58" t="inlineStr">
        <is>
          <t>BedDemand!G10</t>
        </is>
      </c>
      <c r="H7" s="58" t="inlineStr">
        <is>
          <t>BedDemand!H10</t>
        </is>
      </c>
      <c r="I7" s="58" t="inlineStr">
        <is>
          <t>BedDemand!I10</t>
        </is>
      </c>
      <c r="J7" s="58" t="inlineStr">
        <is>
          <t>BedDemand!J10</t>
        </is>
      </c>
      <c r="K7" s="58" t="inlineStr">
        <is>
          <t>BedDemand!K10</t>
        </is>
      </c>
      <c r="L7" s="58" t="inlineStr">
        <is>
          <t>BedDemand!L10</t>
        </is>
      </c>
      <c r="M7" s="58" t="inlineStr">
        <is>
          <t>BedDemand!M10</t>
        </is>
      </c>
      <c r="N7" s="58" t="inlineStr">
        <is>
          <t>BedDemand!N10</t>
        </is>
      </c>
      <c r="O7" s="58" t="inlineStr">
        <is>
          <t>BedDemand!O10</t>
        </is>
      </c>
      <c r="P7" s="58" t="inlineStr">
        <is>
          <t>BedDemand!P10</t>
        </is>
      </c>
      <c r="Q7" s="58" t="inlineStr">
        <is>
          <t>BedDemand!Q10</t>
        </is>
      </c>
      <c r="R7" s="58" t="inlineStr">
        <is>
          <t>BedDemand!R10</t>
        </is>
      </c>
      <c r="S7" s="58" t="inlineStr">
        <is>
          <t>BedDemand!S10</t>
        </is>
      </c>
      <c r="T7" s="58" t="inlineStr">
        <is>
          <t>BedDemand!T10</t>
        </is>
      </c>
      <c r="U7" s="58" t="inlineStr">
        <is>
          <t>BedDemand!U10</t>
        </is>
      </c>
      <c r="V7" s="58" t="inlineStr">
        <is>
          <t>BedDemand!V10</t>
        </is>
      </c>
      <c r="W7" s="58" t="inlineStr">
        <is>
          <t>BedDemand!W10</t>
        </is>
      </c>
      <c r="X7" s="58" t="inlineStr">
        <is>
          <t>BedDemand!X10</t>
        </is>
      </c>
      <c r="Y7" s="58" t="inlineStr">
        <is>
          <t>BedDemand!Y10</t>
        </is>
      </c>
      <c r="Z7" s="58" t="inlineStr">
        <is>
          <t>BedDemand!Z10</t>
        </is>
      </c>
      <c r="AA7" s="58" t="inlineStr">
        <is>
          <t>BedDemand!AA10</t>
        </is>
      </c>
      <c r="AB7" s="58" t="inlineStr">
        <is>
          <t>BedDemand!AB10</t>
        </is>
      </c>
      <c r="AC7" s="58" t="inlineStr">
        <is>
          <t>BedDemand!AC10</t>
        </is>
      </c>
      <c r="AD7" s="58" t="inlineStr">
        <is>
          <t>BedDemand!AD10</t>
        </is>
      </c>
      <c r="AE7" s="58" t="inlineStr">
        <is>
          <t>BedDemand!AE10</t>
        </is>
      </c>
      <c r="AF7" s="58" t="inlineStr">
        <is>
          <t>BedDemand!AF10</t>
        </is>
      </c>
      <c r="AG7" s="58" t="inlineStr">
        <is>
          <t>BedDemand!AG10</t>
        </is>
      </c>
      <c r="AH7" s="58" t="inlineStr">
        <is>
          <t>BedDemand!AH10</t>
        </is>
      </c>
      <c r="AI7" s="58" t="inlineStr">
        <is>
          <t>BedDemand!AI10</t>
        </is>
      </c>
      <c r="AJ7" s="58" t="inlineStr">
        <is>
          <t>BedDemand!AJ10</t>
        </is>
      </c>
      <c r="AK7" s="58" t="inlineStr">
        <is>
          <t>BedDemand!AK10</t>
        </is>
      </c>
      <c r="AL7" s="58" t="inlineStr">
        <is>
          <t>BedDemand!AL10</t>
        </is>
      </c>
      <c r="AM7" s="58" t="inlineStr">
        <is>
          <t>BedDemand!AM10</t>
        </is>
      </c>
      <c r="AN7" s="58" t="inlineStr">
        <is>
          <t>BedDemand!AN10</t>
        </is>
      </c>
    </row>
    <row r="8">
      <c r="B8" s="4" t="inlineStr">
        <is>
          <t>Residents requiring transport</t>
        </is>
      </c>
      <c r="C8" s="60">
        <f>ROUND(BedDemand!C10*Assumptions!$C$63,0)</f>
        <v/>
      </c>
      <c r="D8" s="60">
        <f>ROUND(BedDemand!D10*Assumptions!$C$63,0)</f>
        <v/>
      </c>
      <c r="E8" s="60">
        <f>ROUND(BedDemand!E10*Assumptions!$C$63,0)</f>
        <v/>
      </c>
      <c r="F8" s="60">
        <f>ROUND(BedDemand!F10*Assumptions!$C$63,0)</f>
        <v/>
      </c>
      <c r="G8" s="60">
        <f>ROUND(BedDemand!G10*Assumptions!$C$63,0)</f>
        <v/>
      </c>
      <c r="H8" s="60">
        <f>ROUND(BedDemand!H10*Assumptions!$C$63,0)</f>
        <v/>
      </c>
      <c r="I8" s="60">
        <f>ROUND(BedDemand!I10*Assumptions!$C$63,0)</f>
        <v/>
      </c>
      <c r="J8" s="60">
        <f>ROUND(BedDemand!J10*Assumptions!$C$63,0)</f>
        <v/>
      </c>
      <c r="K8" s="60">
        <f>ROUND(BedDemand!K10*Assumptions!$C$63,0)</f>
        <v/>
      </c>
      <c r="L8" s="60">
        <f>ROUND(BedDemand!L10*Assumptions!$C$63,0)</f>
        <v/>
      </c>
      <c r="M8" s="60">
        <f>ROUND(BedDemand!M10*Assumptions!$C$63,0)</f>
        <v/>
      </c>
      <c r="N8" s="60">
        <f>ROUND(BedDemand!N10*Assumptions!$C$63,0)</f>
        <v/>
      </c>
      <c r="O8" s="60">
        <f>ROUND(BedDemand!O10*Assumptions!$C$63,0)</f>
        <v/>
      </c>
      <c r="P8" s="60">
        <f>ROUND(BedDemand!P10*Assumptions!$C$63,0)</f>
        <v/>
      </c>
      <c r="Q8" s="60">
        <f>ROUND(BedDemand!Q10*Assumptions!$C$63,0)</f>
        <v/>
      </c>
      <c r="R8" s="60">
        <f>ROUND(BedDemand!R10*Assumptions!$C$63,0)</f>
        <v/>
      </c>
      <c r="S8" s="60">
        <f>ROUND(BedDemand!S10*Assumptions!$C$63,0)</f>
        <v/>
      </c>
      <c r="T8" s="60">
        <f>ROUND(BedDemand!T10*Assumptions!$C$63,0)</f>
        <v/>
      </c>
      <c r="U8" s="60">
        <f>ROUND(BedDemand!U10*Assumptions!$C$63,0)</f>
        <v/>
      </c>
      <c r="V8" s="60">
        <f>ROUND(BedDemand!V10*Assumptions!$C$63,0)</f>
        <v/>
      </c>
      <c r="W8" s="60">
        <f>ROUND(BedDemand!W10*Assumptions!$C$63,0)</f>
        <v/>
      </c>
      <c r="X8" s="60">
        <f>ROUND(BedDemand!X10*Assumptions!$C$63,0)</f>
        <v/>
      </c>
      <c r="Y8" s="60">
        <f>ROUND(BedDemand!Y10*Assumptions!$C$63,0)</f>
        <v/>
      </c>
      <c r="Z8" s="60">
        <f>ROUND(BedDemand!Z10*Assumptions!$C$63,0)</f>
        <v/>
      </c>
      <c r="AA8" s="60">
        <f>ROUND(BedDemand!AA10*Assumptions!$C$63,0)</f>
        <v/>
      </c>
      <c r="AB8" s="60">
        <f>ROUND(BedDemand!AB10*Assumptions!$C$63,0)</f>
        <v/>
      </c>
      <c r="AC8" s="60">
        <f>ROUND(BedDemand!AC10*Assumptions!$C$63,0)</f>
        <v/>
      </c>
      <c r="AD8" s="60">
        <f>ROUND(BedDemand!AD10*Assumptions!$C$63,0)</f>
        <v/>
      </c>
      <c r="AE8" s="60">
        <f>ROUND(BedDemand!AE10*Assumptions!$C$63,0)</f>
        <v/>
      </c>
      <c r="AF8" s="60">
        <f>ROUND(BedDemand!AF10*Assumptions!$C$63,0)</f>
        <v/>
      </c>
      <c r="AG8" s="60">
        <f>ROUND(BedDemand!AG10*Assumptions!$C$63,0)</f>
        <v/>
      </c>
      <c r="AH8" s="60">
        <f>ROUND(BedDemand!AH10*Assumptions!$C$63,0)</f>
        <v/>
      </c>
      <c r="AI8" s="60">
        <f>ROUND(BedDemand!AI10*Assumptions!$C$63,0)</f>
        <v/>
      </c>
      <c r="AJ8" s="60">
        <f>ROUND(BedDemand!AJ10*Assumptions!$C$63,0)</f>
        <v/>
      </c>
      <c r="AK8" s="60">
        <f>ROUND(BedDemand!AK10*Assumptions!$C$63,0)</f>
        <v/>
      </c>
      <c r="AL8" s="60">
        <f>ROUND(BedDemand!AL10*Assumptions!$C$63,0)</f>
        <v/>
      </c>
      <c r="AM8" s="60">
        <f>ROUND(BedDemand!AM10*Assumptions!$C$63,0)</f>
        <v/>
      </c>
      <c r="AN8" s="60">
        <f>ROUND(BedDemand!AN10*Assumptions!$C$63,0)</f>
        <v/>
      </c>
      <c r="AP8" s="57" t="inlineStr">
        <is>
          <t>The rest drive or walk. If the village adjoins the site this whole sheet shrinks.</t>
        </is>
      </c>
    </row>
    <row r="10" ht="24" customHeight="1">
      <c r="B10" s="4" t="inlineStr">
        <is>
          <t>Seats required per shift change</t>
        </is>
      </c>
      <c r="C10" s="60">
        <f>ROUNDUP(C8/Assumptions!$C$66,0)</f>
        <v/>
      </c>
      <c r="D10" s="60">
        <f>ROUNDUP(D8/Assumptions!$C$66,0)</f>
        <v/>
      </c>
      <c r="E10" s="60">
        <f>ROUNDUP(E8/Assumptions!$C$66,0)</f>
        <v/>
      </c>
      <c r="F10" s="60">
        <f>ROUNDUP(F8/Assumptions!$C$66,0)</f>
        <v/>
      </c>
      <c r="G10" s="60">
        <f>ROUNDUP(G8/Assumptions!$C$66,0)</f>
        <v/>
      </c>
      <c r="H10" s="60">
        <f>ROUNDUP(H8/Assumptions!$C$66,0)</f>
        <v/>
      </c>
      <c r="I10" s="60">
        <f>ROUNDUP(I8/Assumptions!$C$66,0)</f>
        <v/>
      </c>
      <c r="J10" s="60">
        <f>ROUNDUP(J8/Assumptions!$C$66,0)</f>
        <v/>
      </c>
      <c r="K10" s="60">
        <f>ROUNDUP(K8/Assumptions!$C$66,0)</f>
        <v/>
      </c>
      <c r="L10" s="60">
        <f>ROUNDUP(L8/Assumptions!$C$66,0)</f>
        <v/>
      </c>
      <c r="M10" s="60">
        <f>ROUNDUP(M8/Assumptions!$C$66,0)</f>
        <v/>
      </c>
      <c r="N10" s="60">
        <f>ROUNDUP(N8/Assumptions!$C$66,0)</f>
        <v/>
      </c>
      <c r="O10" s="60">
        <f>ROUNDUP(O8/Assumptions!$C$66,0)</f>
        <v/>
      </c>
      <c r="P10" s="60">
        <f>ROUNDUP(P8/Assumptions!$C$66,0)</f>
        <v/>
      </c>
      <c r="Q10" s="60">
        <f>ROUNDUP(Q8/Assumptions!$C$66,0)</f>
        <v/>
      </c>
      <c r="R10" s="60">
        <f>ROUNDUP(R8/Assumptions!$C$66,0)</f>
        <v/>
      </c>
      <c r="S10" s="60">
        <f>ROUNDUP(S8/Assumptions!$C$66,0)</f>
        <v/>
      </c>
      <c r="T10" s="60">
        <f>ROUNDUP(T8/Assumptions!$C$66,0)</f>
        <v/>
      </c>
      <c r="U10" s="60">
        <f>ROUNDUP(U8/Assumptions!$C$66,0)</f>
        <v/>
      </c>
      <c r="V10" s="60">
        <f>ROUNDUP(V8/Assumptions!$C$66,0)</f>
        <v/>
      </c>
      <c r="W10" s="60">
        <f>ROUNDUP(W8/Assumptions!$C$66,0)</f>
        <v/>
      </c>
      <c r="X10" s="60">
        <f>ROUNDUP(X8/Assumptions!$C$66,0)</f>
        <v/>
      </c>
      <c r="Y10" s="60">
        <f>ROUNDUP(Y8/Assumptions!$C$66,0)</f>
        <v/>
      </c>
      <c r="Z10" s="60">
        <f>ROUNDUP(Z8/Assumptions!$C$66,0)</f>
        <v/>
      </c>
      <c r="AA10" s="60">
        <f>ROUNDUP(AA8/Assumptions!$C$66,0)</f>
        <v/>
      </c>
      <c r="AB10" s="60">
        <f>ROUNDUP(AB8/Assumptions!$C$66,0)</f>
        <v/>
      </c>
      <c r="AC10" s="60">
        <f>ROUNDUP(AC8/Assumptions!$C$66,0)</f>
        <v/>
      </c>
      <c r="AD10" s="60">
        <f>ROUNDUP(AD8/Assumptions!$C$66,0)</f>
        <v/>
      </c>
      <c r="AE10" s="60">
        <f>ROUNDUP(AE8/Assumptions!$C$66,0)</f>
        <v/>
      </c>
      <c r="AF10" s="60">
        <f>ROUNDUP(AF8/Assumptions!$C$66,0)</f>
        <v/>
      </c>
      <c r="AG10" s="60">
        <f>ROUNDUP(AG8/Assumptions!$C$66,0)</f>
        <v/>
      </c>
      <c r="AH10" s="60">
        <f>ROUNDUP(AH8/Assumptions!$C$66,0)</f>
        <v/>
      </c>
      <c r="AI10" s="60">
        <f>ROUNDUP(AI8/Assumptions!$C$66,0)</f>
        <v/>
      </c>
      <c r="AJ10" s="60">
        <f>ROUNDUP(AJ8/Assumptions!$C$66,0)</f>
        <v/>
      </c>
      <c r="AK10" s="60">
        <f>ROUNDUP(AK8/Assumptions!$C$66,0)</f>
        <v/>
      </c>
      <c r="AL10" s="60">
        <f>ROUNDUP(AL8/Assumptions!$C$66,0)</f>
        <v/>
      </c>
      <c r="AM10" s="60">
        <f>ROUNDUP(AM8/Assumptions!$C$66,0)</f>
        <v/>
      </c>
      <c r="AN10" s="60">
        <f>ROUNDUP(AN8/Assumptions!$C$66,0)</f>
        <v/>
      </c>
      <c r="AP10" s="57" t="inlineStr">
        <is>
          <t>Split across the runs on Assumptions. Two runs stagger the arrival peak at the gate — which is usually the real constraint, not the buses.</t>
        </is>
      </c>
    </row>
    <row r="11">
      <c r="B11" s="4" t="inlineStr">
        <is>
          <t>Buses required</t>
        </is>
      </c>
      <c r="C11" s="60">
        <f>ROUNDUP(C10/(Assumptions!$C$64*Assumptions!$C$65),0)</f>
        <v/>
      </c>
      <c r="D11" s="60">
        <f>ROUNDUP(D10/(Assumptions!$C$64*Assumptions!$C$65),0)</f>
        <v/>
      </c>
      <c r="E11" s="60">
        <f>ROUNDUP(E10/(Assumptions!$C$64*Assumptions!$C$65),0)</f>
        <v/>
      </c>
      <c r="F11" s="60">
        <f>ROUNDUP(F10/(Assumptions!$C$64*Assumptions!$C$65),0)</f>
        <v/>
      </c>
      <c r="G11" s="60">
        <f>ROUNDUP(G10/(Assumptions!$C$64*Assumptions!$C$65),0)</f>
        <v/>
      </c>
      <c r="H11" s="60">
        <f>ROUNDUP(H10/(Assumptions!$C$64*Assumptions!$C$65),0)</f>
        <v/>
      </c>
      <c r="I11" s="60">
        <f>ROUNDUP(I10/(Assumptions!$C$64*Assumptions!$C$65),0)</f>
        <v/>
      </c>
      <c r="J11" s="60">
        <f>ROUNDUP(J10/(Assumptions!$C$64*Assumptions!$C$65),0)</f>
        <v/>
      </c>
      <c r="K11" s="60">
        <f>ROUNDUP(K10/(Assumptions!$C$64*Assumptions!$C$65),0)</f>
        <v/>
      </c>
      <c r="L11" s="60">
        <f>ROUNDUP(L10/(Assumptions!$C$64*Assumptions!$C$65),0)</f>
        <v/>
      </c>
      <c r="M11" s="60">
        <f>ROUNDUP(M10/(Assumptions!$C$64*Assumptions!$C$65),0)</f>
        <v/>
      </c>
      <c r="N11" s="60">
        <f>ROUNDUP(N10/(Assumptions!$C$64*Assumptions!$C$65),0)</f>
        <v/>
      </c>
      <c r="O11" s="60">
        <f>ROUNDUP(O10/(Assumptions!$C$64*Assumptions!$C$65),0)</f>
        <v/>
      </c>
      <c r="P11" s="60">
        <f>ROUNDUP(P10/(Assumptions!$C$64*Assumptions!$C$65),0)</f>
        <v/>
      </c>
      <c r="Q11" s="60">
        <f>ROUNDUP(Q10/(Assumptions!$C$64*Assumptions!$C$65),0)</f>
        <v/>
      </c>
      <c r="R11" s="60">
        <f>ROUNDUP(R10/(Assumptions!$C$64*Assumptions!$C$65),0)</f>
        <v/>
      </c>
      <c r="S11" s="60">
        <f>ROUNDUP(S10/(Assumptions!$C$64*Assumptions!$C$65),0)</f>
        <v/>
      </c>
      <c r="T11" s="60">
        <f>ROUNDUP(T10/(Assumptions!$C$64*Assumptions!$C$65),0)</f>
        <v/>
      </c>
      <c r="U11" s="60">
        <f>ROUNDUP(U10/(Assumptions!$C$64*Assumptions!$C$65),0)</f>
        <v/>
      </c>
      <c r="V11" s="60">
        <f>ROUNDUP(V10/(Assumptions!$C$64*Assumptions!$C$65),0)</f>
        <v/>
      </c>
      <c r="W11" s="60">
        <f>ROUNDUP(W10/(Assumptions!$C$64*Assumptions!$C$65),0)</f>
        <v/>
      </c>
      <c r="X11" s="60">
        <f>ROUNDUP(X10/(Assumptions!$C$64*Assumptions!$C$65),0)</f>
        <v/>
      </c>
      <c r="Y11" s="60">
        <f>ROUNDUP(Y10/(Assumptions!$C$64*Assumptions!$C$65),0)</f>
        <v/>
      </c>
      <c r="Z11" s="60">
        <f>ROUNDUP(Z10/(Assumptions!$C$64*Assumptions!$C$65),0)</f>
        <v/>
      </c>
      <c r="AA11" s="60">
        <f>ROUNDUP(AA10/(Assumptions!$C$64*Assumptions!$C$65),0)</f>
        <v/>
      </c>
      <c r="AB11" s="60">
        <f>ROUNDUP(AB10/(Assumptions!$C$64*Assumptions!$C$65),0)</f>
        <v/>
      </c>
      <c r="AC11" s="60">
        <f>ROUNDUP(AC10/(Assumptions!$C$64*Assumptions!$C$65),0)</f>
        <v/>
      </c>
      <c r="AD11" s="60">
        <f>ROUNDUP(AD10/(Assumptions!$C$64*Assumptions!$C$65),0)</f>
        <v/>
      </c>
      <c r="AE11" s="60">
        <f>ROUNDUP(AE10/(Assumptions!$C$64*Assumptions!$C$65),0)</f>
        <v/>
      </c>
      <c r="AF11" s="60">
        <f>ROUNDUP(AF10/(Assumptions!$C$64*Assumptions!$C$65),0)</f>
        <v/>
      </c>
      <c r="AG11" s="60">
        <f>ROUNDUP(AG10/(Assumptions!$C$64*Assumptions!$C$65),0)</f>
        <v/>
      </c>
      <c r="AH11" s="60">
        <f>ROUNDUP(AH10/(Assumptions!$C$64*Assumptions!$C$65),0)</f>
        <v/>
      </c>
      <c r="AI11" s="60">
        <f>ROUNDUP(AI10/(Assumptions!$C$64*Assumptions!$C$65),0)</f>
        <v/>
      </c>
      <c r="AJ11" s="60">
        <f>ROUNDUP(AJ10/(Assumptions!$C$64*Assumptions!$C$65),0)</f>
        <v/>
      </c>
      <c r="AK11" s="60">
        <f>ROUNDUP(AK10/(Assumptions!$C$64*Assumptions!$C$65),0)</f>
        <v/>
      </c>
      <c r="AL11" s="60">
        <f>ROUNDUP(AL10/(Assumptions!$C$64*Assumptions!$C$65),0)</f>
        <v/>
      </c>
      <c r="AM11" s="60">
        <f>ROUNDUP(AM10/(Assumptions!$C$64*Assumptions!$C$65),0)</f>
        <v/>
      </c>
      <c r="AN11" s="60">
        <f>ROUNDUP(AN10/(Assumptions!$C$64*Assumptions!$C$65),0)</f>
        <v/>
      </c>
      <c r="AP11" s="57" t="inlineStr">
        <is>
          <t>At the seat count and load factor on Assumptions. Nobody fills every seat every run.</t>
        </is>
      </c>
    </row>
    <row r="12">
      <c r="B12" s="4" t="inlineStr">
        <is>
          <t>Bus journeys per day</t>
        </is>
      </c>
      <c r="C12" s="60">
        <f>C11*Assumptions!$C$66*Assumptions!$C$67*2</f>
        <v/>
      </c>
      <c r="D12" s="60">
        <f>D11*Assumptions!$C$66*Assumptions!$C$67*2</f>
        <v/>
      </c>
      <c r="E12" s="60">
        <f>E11*Assumptions!$C$66*Assumptions!$C$67*2</f>
        <v/>
      </c>
      <c r="F12" s="60">
        <f>F11*Assumptions!$C$66*Assumptions!$C$67*2</f>
        <v/>
      </c>
      <c r="G12" s="60">
        <f>G11*Assumptions!$C$66*Assumptions!$C$67*2</f>
        <v/>
      </c>
      <c r="H12" s="60">
        <f>H11*Assumptions!$C$66*Assumptions!$C$67*2</f>
        <v/>
      </c>
      <c r="I12" s="60">
        <f>I11*Assumptions!$C$66*Assumptions!$C$67*2</f>
        <v/>
      </c>
      <c r="J12" s="60">
        <f>J11*Assumptions!$C$66*Assumptions!$C$67*2</f>
        <v/>
      </c>
      <c r="K12" s="60">
        <f>K11*Assumptions!$C$66*Assumptions!$C$67*2</f>
        <v/>
      </c>
      <c r="L12" s="60">
        <f>L11*Assumptions!$C$66*Assumptions!$C$67*2</f>
        <v/>
      </c>
      <c r="M12" s="60">
        <f>M11*Assumptions!$C$66*Assumptions!$C$67*2</f>
        <v/>
      </c>
      <c r="N12" s="60">
        <f>N11*Assumptions!$C$66*Assumptions!$C$67*2</f>
        <v/>
      </c>
      <c r="O12" s="60">
        <f>O11*Assumptions!$C$66*Assumptions!$C$67*2</f>
        <v/>
      </c>
      <c r="P12" s="60">
        <f>P11*Assumptions!$C$66*Assumptions!$C$67*2</f>
        <v/>
      </c>
      <c r="Q12" s="60">
        <f>Q11*Assumptions!$C$66*Assumptions!$C$67*2</f>
        <v/>
      </c>
      <c r="R12" s="60">
        <f>R11*Assumptions!$C$66*Assumptions!$C$67*2</f>
        <v/>
      </c>
      <c r="S12" s="60">
        <f>S11*Assumptions!$C$66*Assumptions!$C$67*2</f>
        <v/>
      </c>
      <c r="T12" s="60">
        <f>T11*Assumptions!$C$66*Assumptions!$C$67*2</f>
        <v/>
      </c>
      <c r="U12" s="60">
        <f>U11*Assumptions!$C$66*Assumptions!$C$67*2</f>
        <v/>
      </c>
      <c r="V12" s="60">
        <f>V11*Assumptions!$C$66*Assumptions!$C$67*2</f>
        <v/>
      </c>
      <c r="W12" s="60">
        <f>W11*Assumptions!$C$66*Assumptions!$C$67*2</f>
        <v/>
      </c>
      <c r="X12" s="60">
        <f>X11*Assumptions!$C$66*Assumptions!$C$67*2</f>
        <v/>
      </c>
      <c r="Y12" s="60">
        <f>Y11*Assumptions!$C$66*Assumptions!$C$67*2</f>
        <v/>
      </c>
      <c r="Z12" s="60">
        <f>Z11*Assumptions!$C$66*Assumptions!$C$67*2</f>
        <v/>
      </c>
      <c r="AA12" s="60">
        <f>AA11*Assumptions!$C$66*Assumptions!$C$67*2</f>
        <v/>
      </c>
      <c r="AB12" s="60">
        <f>AB11*Assumptions!$C$66*Assumptions!$C$67*2</f>
        <v/>
      </c>
      <c r="AC12" s="60">
        <f>AC11*Assumptions!$C$66*Assumptions!$C$67*2</f>
        <v/>
      </c>
      <c r="AD12" s="60">
        <f>AD11*Assumptions!$C$66*Assumptions!$C$67*2</f>
        <v/>
      </c>
      <c r="AE12" s="60">
        <f>AE11*Assumptions!$C$66*Assumptions!$C$67*2</f>
        <v/>
      </c>
      <c r="AF12" s="60">
        <f>AF11*Assumptions!$C$66*Assumptions!$C$67*2</f>
        <v/>
      </c>
      <c r="AG12" s="60">
        <f>AG11*Assumptions!$C$66*Assumptions!$C$67*2</f>
        <v/>
      </c>
      <c r="AH12" s="60">
        <f>AH11*Assumptions!$C$66*Assumptions!$C$67*2</f>
        <v/>
      </c>
      <c r="AI12" s="60">
        <f>AI11*Assumptions!$C$66*Assumptions!$C$67*2</f>
        <v/>
      </c>
      <c r="AJ12" s="60">
        <f>AJ11*Assumptions!$C$66*Assumptions!$C$67*2</f>
        <v/>
      </c>
      <c r="AK12" s="60">
        <f>AK11*Assumptions!$C$66*Assumptions!$C$67*2</f>
        <v/>
      </c>
      <c r="AL12" s="60">
        <f>AL11*Assumptions!$C$66*Assumptions!$C$67*2</f>
        <v/>
      </c>
      <c r="AM12" s="60">
        <f>AM11*Assumptions!$C$66*Assumptions!$C$67*2</f>
        <v/>
      </c>
      <c r="AN12" s="60">
        <f>AN11*Assumptions!$C$66*Assumptions!$C$67*2</f>
        <v/>
      </c>
      <c r="AP12" s="57" t="inlineStr">
        <is>
          <t>Out and back, every run, every shift change.</t>
        </is>
      </c>
    </row>
    <row r="13">
      <c r="B13" s="4" t="inlineStr">
        <is>
          <t>Bus movements per day at the village gate</t>
        </is>
      </c>
      <c r="C13" s="60">
        <f>C12</f>
        <v/>
      </c>
      <c r="D13" s="60">
        <f>D12</f>
        <v/>
      </c>
      <c r="E13" s="60">
        <f>E12</f>
        <v/>
      </c>
      <c r="F13" s="60">
        <f>F12</f>
        <v/>
      </c>
      <c r="G13" s="60">
        <f>G12</f>
        <v/>
      </c>
      <c r="H13" s="60">
        <f>H12</f>
        <v/>
      </c>
      <c r="I13" s="60">
        <f>I12</f>
        <v/>
      </c>
      <c r="J13" s="60">
        <f>J12</f>
        <v/>
      </c>
      <c r="K13" s="60">
        <f>K12</f>
        <v/>
      </c>
      <c r="L13" s="60">
        <f>L12</f>
        <v/>
      </c>
      <c r="M13" s="60">
        <f>M12</f>
        <v/>
      </c>
      <c r="N13" s="60">
        <f>N12</f>
        <v/>
      </c>
      <c r="O13" s="60">
        <f>O12</f>
        <v/>
      </c>
      <c r="P13" s="60">
        <f>P12</f>
        <v/>
      </c>
      <c r="Q13" s="60">
        <f>Q12</f>
        <v/>
      </c>
      <c r="R13" s="60">
        <f>R12</f>
        <v/>
      </c>
      <c r="S13" s="60">
        <f>S12</f>
        <v/>
      </c>
      <c r="T13" s="60">
        <f>T12</f>
        <v/>
      </c>
      <c r="U13" s="60">
        <f>U12</f>
        <v/>
      </c>
      <c r="V13" s="60">
        <f>V12</f>
        <v/>
      </c>
      <c r="W13" s="60">
        <f>W12</f>
        <v/>
      </c>
      <c r="X13" s="60">
        <f>X12</f>
        <v/>
      </c>
      <c r="Y13" s="60">
        <f>Y12</f>
        <v/>
      </c>
      <c r="Z13" s="60">
        <f>Z12</f>
        <v/>
      </c>
      <c r="AA13" s="60">
        <f>AA12</f>
        <v/>
      </c>
      <c r="AB13" s="60">
        <f>AB12</f>
        <v/>
      </c>
      <c r="AC13" s="60">
        <f>AC12</f>
        <v/>
      </c>
      <c r="AD13" s="60">
        <f>AD12</f>
        <v/>
      </c>
      <c r="AE13" s="60">
        <f>AE12</f>
        <v/>
      </c>
      <c r="AF13" s="60">
        <f>AF12</f>
        <v/>
      </c>
      <c r="AG13" s="60">
        <f>AG12</f>
        <v/>
      </c>
      <c r="AH13" s="60">
        <f>AH12</f>
        <v/>
      </c>
      <c r="AI13" s="60">
        <f>AI12</f>
        <v/>
      </c>
      <c r="AJ13" s="60">
        <f>AJ12</f>
        <v/>
      </c>
      <c r="AK13" s="60">
        <f>AK12</f>
        <v/>
      </c>
      <c r="AL13" s="60">
        <f>AL12</f>
        <v/>
      </c>
      <c r="AM13" s="60">
        <f>AM12</f>
        <v/>
      </c>
      <c r="AN13" s="60">
        <f>AN12</f>
        <v/>
      </c>
      <c r="AP13" s="57" t="inlineStr">
        <is>
          <t>The village access has to take this, at 06:00, in the dark, in winter.</t>
        </is>
      </c>
    </row>
    <row r="15" ht="24" customHeight="1">
      <c r="B15" s="4" t="inlineStr">
        <is>
          <t>Resident parking spaces</t>
        </is>
      </c>
      <c r="C15" s="60">
        <f>ROUNDUP(BedDemand!C10/10*Assumptions!$C$68,0)</f>
        <v/>
      </c>
      <c r="D15" s="60">
        <f>ROUNDUP(BedDemand!D10/10*Assumptions!$C$68,0)</f>
        <v/>
      </c>
      <c r="E15" s="60">
        <f>ROUNDUP(BedDemand!E10/10*Assumptions!$C$68,0)</f>
        <v/>
      </c>
      <c r="F15" s="60">
        <f>ROUNDUP(BedDemand!F10/10*Assumptions!$C$68,0)</f>
        <v/>
      </c>
      <c r="G15" s="60">
        <f>ROUNDUP(BedDemand!G10/10*Assumptions!$C$68,0)</f>
        <v/>
      </c>
      <c r="H15" s="60">
        <f>ROUNDUP(BedDemand!H10/10*Assumptions!$C$68,0)</f>
        <v/>
      </c>
      <c r="I15" s="60">
        <f>ROUNDUP(BedDemand!I10/10*Assumptions!$C$68,0)</f>
        <v/>
      </c>
      <c r="J15" s="60">
        <f>ROUNDUP(BedDemand!J10/10*Assumptions!$C$68,0)</f>
        <v/>
      </c>
      <c r="K15" s="60">
        <f>ROUNDUP(BedDemand!K10/10*Assumptions!$C$68,0)</f>
        <v/>
      </c>
      <c r="L15" s="60">
        <f>ROUNDUP(BedDemand!L10/10*Assumptions!$C$68,0)</f>
        <v/>
      </c>
      <c r="M15" s="60">
        <f>ROUNDUP(BedDemand!M10/10*Assumptions!$C$68,0)</f>
        <v/>
      </c>
      <c r="N15" s="60">
        <f>ROUNDUP(BedDemand!N10/10*Assumptions!$C$68,0)</f>
        <v/>
      </c>
      <c r="O15" s="60">
        <f>ROUNDUP(BedDemand!O10/10*Assumptions!$C$68,0)</f>
        <v/>
      </c>
      <c r="P15" s="60">
        <f>ROUNDUP(BedDemand!P10/10*Assumptions!$C$68,0)</f>
        <v/>
      </c>
      <c r="Q15" s="60">
        <f>ROUNDUP(BedDemand!Q10/10*Assumptions!$C$68,0)</f>
        <v/>
      </c>
      <c r="R15" s="60">
        <f>ROUNDUP(BedDemand!R10/10*Assumptions!$C$68,0)</f>
        <v/>
      </c>
      <c r="S15" s="60">
        <f>ROUNDUP(BedDemand!S10/10*Assumptions!$C$68,0)</f>
        <v/>
      </c>
      <c r="T15" s="60">
        <f>ROUNDUP(BedDemand!T10/10*Assumptions!$C$68,0)</f>
        <v/>
      </c>
      <c r="U15" s="60">
        <f>ROUNDUP(BedDemand!U10/10*Assumptions!$C$68,0)</f>
        <v/>
      </c>
      <c r="V15" s="60">
        <f>ROUNDUP(BedDemand!V10/10*Assumptions!$C$68,0)</f>
        <v/>
      </c>
      <c r="W15" s="60">
        <f>ROUNDUP(BedDemand!W10/10*Assumptions!$C$68,0)</f>
        <v/>
      </c>
      <c r="X15" s="60">
        <f>ROUNDUP(BedDemand!X10/10*Assumptions!$C$68,0)</f>
        <v/>
      </c>
      <c r="Y15" s="60">
        <f>ROUNDUP(BedDemand!Y10/10*Assumptions!$C$68,0)</f>
        <v/>
      </c>
      <c r="Z15" s="60">
        <f>ROUNDUP(BedDemand!Z10/10*Assumptions!$C$68,0)</f>
        <v/>
      </c>
      <c r="AA15" s="60">
        <f>ROUNDUP(BedDemand!AA10/10*Assumptions!$C$68,0)</f>
        <v/>
      </c>
      <c r="AB15" s="60">
        <f>ROUNDUP(BedDemand!AB10/10*Assumptions!$C$68,0)</f>
        <v/>
      </c>
      <c r="AC15" s="60">
        <f>ROUNDUP(BedDemand!AC10/10*Assumptions!$C$68,0)</f>
        <v/>
      </c>
      <c r="AD15" s="60">
        <f>ROUNDUP(BedDemand!AD10/10*Assumptions!$C$68,0)</f>
        <v/>
      </c>
      <c r="AE15" s="60">
        <f>ROUNDUP(BedDemand!AE10/10*Assumptions!$C$68,0)</f>
        <v/>
      </c>
      <c r="AF15" s="60">
        <f>ROUNDUP(BedDemand!AF10/10*Assumptions!$C$68,0)</f>
        <v/>
      </c>
      <c r="AG15" s="60">
        <f>ROUNDUP(BedDemand!AG10/10*Assumptions!$C$68,0)</f>
        <v/>
      </c>
      <c r="AH15" s="60">
        <f>ROUNDUP(BedDemand!AH10/10*Assumptions!$C$68,0)</f>
        <v/>
      </c>
      <c r="AI15" s="60">
        <f>ROUNDUP(BedDemand!AI10/10*Assumptions!$C$68,0)</f>
        <v/>
      </c>
      <c r="AJ15" s="60">
        <f>ROUNDUP(BedDemand!AJ10/10*Assumptions!$C$68,0)</f>
        <v/>
      </c>
      <c r="AK15" s="60">
        <f>ROUNDUP(BedDemand!AK10/10*Assumptions!$C$68,0)</f>
        <v/>
      </c>
      <c r="AL15" s="60">
        <f>ROUNDUP(BedDemand!AL10/10*Assumptions!$C$68,0)</f>
        <v/>
      </c>
      <c r="AM15" s="60">
        <f>ROUNDUP(BedDemand!AM10/10*Assumptions!$C$68,0)</f>
        <v/>
      </c>
      <c r="AN15" s="60">
        <f>ROUNDUP(BedDemand!AN10/10*Assumptions!$C$68,0)</f>
        <v/>
      </c>
      <c r="AP15" s="57" t="inlineStr">
        <is>
          <t>Most residents are bussed; some keep a car for days off. Under-provide this and they park on the verge.</t>
        </is>
      </c>
    </row>
    <row r="16">
      <c r="B16" s="4" t="inlineStr">
        <is>
          <t>Village staff and visitor parking</t>
        </is>
      </c>
      <c r="C16" s="60">
        <f>IF(BedDemand!C10&gt;0,Assumptions!$C$69,0)</f>
        <v/>
      </c>
      <c r="D16" s="60">
        <f>IF(BedDemand!D10&gt;0,Assumptions!$C$69,0)</f>
        <v/>
      </c>
      <c r="E16" s="60">
        <f>IF(BedDemand!E10&gt;0,Assumptions!$C$69,0)</f>
        <v/>
      </c>
      <c r="F16" s="60">
        <f>IF(BedDemand!F10&gt;0,Assumptions!$C$69,0)</f>
        <v/>
      </c>
      <c r="G16" s="60">
        <f>IF(BedDemand!G10&gt;0,Assumptions!$C$69,0)</f>
        <v/>
      </c>
      <c r="H16" s="60">
        <f>IF(BedDemand!H10&gt;0,Assumptions!$C$69,0)</f>
        <v/>
      </c>
      <c r="I16" s="60">
        <f>IF(BedDemand!I10&gt;0,Assumptions!$C$69,0)</f>
        <v/>
      </c>
      <c r="J16" s="60">
        <f>IF(BedDemand!J10&gt;0,Assumptions!$C$69,0)</f>
        <v/>
      </c>
      <c r="K16" s="60">
        <f>IF(BedDemand!K10&gt;0,Assumptions!$C$69,0)</f>
        <v/>
      </c>
      <c r="L16" s="60">
        <f>IF(BedDemand!L10&gt;0,Assumptions!$C$69,0)</f>
        <v/>
      </c>
      <c r="M16" s="60">
        <f>IF(BedDemand!M10&gt;0,Assumptions!$C$69,0)</f>
        <v/>
      </c>
      <c r="N16" s="60">
        <f>IF(BedDemand!N10&gt;0,Assumptions!$C$69,0)</f>
        <v/>
      </c>
      <c r="O16" s="60">
        <f>IF(BedDemand!O10&gt;0,Assumptions!$C$69,0)</f>
        <v/>
      </c>
      <c r="P16" s="60">
        <f>IF(BedDemand!P10&gt;0,Assumptions!$C$69,0)</f>
        <v/>
      </c>
      <c r="Q16" s="60">
        <f>IF(BedDemand!Q10&gt;0,Assumptions!$C$69,0)</f>
        <v/>
      </c>
      <c r="R16" s="60">
        <f>IF(BedDemand!R10&gt;0,Assumptions!$C$69,0)</f>
        <v/>
      </c>
      <c r="S16" s="60">
        <f>IF(BedDemand!S10&gt;0,Assumptions!$C$69,0)</f>
        <v/>
      </c>
      <c r="T16" s="60">
        <f>IF(BedDemand!T10&gt;0,Assumptions!$C$69,0)</f>
        <v/>
      </c>
      <c r="U16" s="60">
        <f>IF(BedDemand!U10&gt;0,Assumptions!$C$69,0)</f>
        <v/>
      </c>
      <c r="V16" s="60">
        <f>IF(BedDemand!V10&gt;0,Assumptions!$C$69,0)</f>
        <v/>
      </c>
      <c r="W16" s="60">
        <f>IF(BedDemand!W10&gt;0,Assumptions!$C$69,0)</f>
        <v/>
      </c>
      <c r="X16" s="60">
        <f>IF(BedDemand!X10&gt;0,Assumptions!$C$69,0)</f>
        <v/>
      </c>
      <c r="Y16" s="60">
        <f>IF(BedDemand!Y10&gt;0,Assumptions!$C$69,0)</f>
        <v/>
      </c>
      <c r="Z16" s="60">
        <f>IF(BedDemand!Z10&gt;0,Assumptions!$C$69,0)</f>
        <v/>
      </c>
      <c r="AA16" s="60">
        <f>IF(BedDemand!AA10&gt;0,Assumptions!$C$69,0)</f>
        <v/>
      </c>
      <c r="AB16" s="60">
        <f>IF(BedDemand!AB10&gt;0,Assumptions!$C$69,0)</f>
        <v/>
      </c>
      <c r="AC16" s="60">
        <f>IF(BedDemand!AC10&gt;0,Assumptions!$C$69,0)</f>
        <v/>
      </c>
      <c r="AD16" s="60">
        <f>IF(BedDemand!AD10&gt;0,Assumptions!$C$69,0)</f>
        <v/>
      </c>
      <c r="AE16" s="60">
        <f>IF(BedDemand!AE10&gt;0,Assumptions!$C$69,0)</f>
        <v/>
      </c>
      <c r="AF16" s="60">
        <f>IF(BedDemand!AF10&gt;0,Assumptions!$C$69,0)</f>
        <v/>
      </c>
      <c r="AG16" s="60">
        <f>IF(BedDemand!AG10&gt;0,Assumptions!$C$69,0)</f>
        <v/>
      </c>
      <c r="AH16" s="60">
        <f>IF(BedDemand!AH10&gt;0,Assumptions!$C$69,0)</f>
        <v/>
      </c>
      <c r="AI16" s="60">
        <f>IF(BedDemand!AI10&gt;0,Assumptions!$C$69,0)</f>
        <v/>
      </c>
      <c r="AJ16" s="60">
        <f>IF(BedDemand!AJ10&gt;0,Assumptions!$C$69,0)</f>
        <v/>
      </c>
      <c r="AK16" s="60">
        <f>IF(BedDemand!AK10&gt;0,Assumptions!$C$69,0)</f>
        <v/>
      </c>
      <c r="AL16" s="60">
        <f>IF(BedDemand!AL10&gt;0,Assumptions!$C$69,0)</f>
        <v/>
      </c>
      <c r="AM16" s="60">
        <f>IF(BedDemand!AM10&gt;0,Assumptions!$C$69,0)</f>
        <v/>
      </c>
      <c r="AN16" s="60">
        <f>IF(BedDemand!AN10&gt;0,Assumptions!$C$69,0)</f>
        <v/>
      </c>
    </row>
    <row r="17">
      <c r="B17" s="6" t="inlineStr">
        <is>
          <t>TOTAL PARKING SPACES</t>
        </is>
      </c>
      <c r="C17" s="58">
        <f>C15+C16</f>
        <v/>
      </c>
      <c r="D17" s="58">
        <f>D15+D16</f>
        <v/>
      </c>
      <c r="E17" s="58">
        <f>E15+E16</f>
        <v/>
      </c>
      <c r="F17" s="58">
        <f>F15+F16</f>
        <v/>
      </c>
      <c r="G17" s="58">
        <f>G15+G16</f>
        <v/>
      </c>
      <c r="H17" s="58">
        <f>H15+H16</f>
        <v/>
      </c>
      <c r="I17" s="58">
        <f>I15+I16</f>
        <v/>
      </c>
      <c r="J17" s="58">
        <f>J15+J16</f>
        <v/>
      </c>
      <c r="K17" s="58">
        <f>K15+K16</f>
        <v/>
      </c>
      <c r="L17" s="58">
        <f>L15+L16</f>
        <v/>
      </c>
      <c r="M17" s="58">
        <f>M15+M16</f>
        <v/>
      </c>
      <c r="N17" s="58">
        <f>N15+N16</f>
        <v/>
      </c>
      <c r="O17" s="58">
        <f>O15+O16</f>
        <v/>
      </c>
      <c r="P17" s="58">
        <f>P15+P16</f>
        <v/>
      </c>
      <c r="Q17" s="58">
        <f>Q15+Q16</f>
        <v/>
      </c>
      <c r="R17" s="58">
        <f>R15+R16</f>
        <v/>
      </c>
      <c r="S17" s="58">
        <f>S15+S16</f>
        <v/>
      </c>
      <c r="T17" s="58">
        <f>T15+T16</f>
        <v/>
      </c>
      <c r="U17" s="58">
        <f>U15+U16</f>
        <v/>
      </c>
      <c r="V17" s="58">
        <f>V15+V16</f>
        <v/>
      </c>
      <c r="W17" s="58">
        <f>W15+W16</f>
        <v/>
      </c>
      <c r="X17" s="58">
        <f>X15+X16</f>
        <v/>
      </c>
      <c r="Y17" s="58">
        <f>Y15+Y16</f>
        <v/>
      </c>
      <c r="Z17" s="58">
        <f>Z15+Z16</f>
        <v/>
      </c>
      <c r="AA17" s="58">
        <f>AA15+AA16</f>
        <v/>
      </c>
      <c r="AB17" s="58">
        <f>AB15+AB16</f>
        <v/>
      </c>
      <c r="AC17" s="58">
        <f>AC15+AC16</f>
        <v/>
      </c>
      <c r="AD17" s="58">
        <f>AD15+AD16</f>
        <v/>
      </c>
      <c r="AE17" s="58">
        <f>AE15+AE16</f>
        <v/>
      </c>
      <c r="AF17" s="58">
        <f>AF15+AF16</f>
        <v/>
      </c>
      <c r="AG17" s="58">
        <f>AG15+AG16</f>
        <v/>
      </c>
      <c r="AH17" s="58">
        <f>AH15+AH16</f>
        <v/>
      </c>
      <c r="AI17" s="58">
        <f>AI15+AI16</f>
        <v/>
      </c>
      <c r="AJ17" s="58">
        <f>AJ15+AJ16</f>
        <v/>
      </c>
      <c r="AK17" s="58">
        <f>AK15+AK16</f>
        <v/>
      </c>
      <c r="AL17" s="58">
        <f>AL15+AL16</f>
        <v/>
      </c>
      <c r="AM17" s="58">
        <f>AM15+AM16</f>
        <v/>
      </c>
      <c r="AN17" s="58">
        <f>AN15+AN16</f>
        <v/>
      </c>
    </row>
    <row r="18">
      <c r="B18" s="4" t="inlineStr">
        <is>
          <t>Parking area</t>
        </is>
      </c>
      <c r="C18" s="60">
        <f>C17*25</f>
        <v/>
      </c>
      <c r="D18" s="60">
        <f>D17*25</f>
        <v/>
      </c>
      <c r="E18" s="60">
        <f>E17*25</f>
        <v/>
      </c>
      <c r="F18" s="60">
        <f>F17*25</f>
        <v/>
      </c>
      <c r="G18" s="60">
        <f>G17*25</f>
        <v/>
      </c>
      <c r="H18" s="60">
        <f>H17*25</f>
        <v/>
      </c>
      <c r="I18" s="60">
        <f>I17*25</f>
        <v/>
      </c>
      <c r="J18" s="60">
        <f>J17*25</f>
        <v/>
      </c>
      <c r="K18" s="60">
        <f>K17*25</f>
        <v/>
      </c>
      <c r="L18" s="60">
        <f>L17*25</f>
        <v/>
      </c>
      <c r="M18" s="60">
        <f>M17*25</f>
        <v/>
      </c>
      <c r="N18" s="60">
        <f>N17*25</f>
        <v/>
      </c>
      <c r="O18" s="60">
        <f>O17*25</f>
        <v/>
      </c>
      <c r="P18" s="60">
        <f>P17*25</f>
        <v/>
      </c>
      <c r="Q18" s="60">
        <f>Q17*25</f>
        <v/>
      </c>
      <c r="R18" s="60">
        <f>R17*25</f>
        <v/>
      </c>
      <c r="S18" s="60">
        <f>S17*25</f>
        <v/>
      </c>
      <c r="T18" s="60">
        <f>T17*25</f>
        <v/>
      </c>
      <c r="U18" s="60">
        <f>U17*25</f>
        <v/>
      </c>
      <c r="V18" s="60">
        <f>V17*25</f>
        <v/>
      </c>
      <c r="W18" s="60">
        <f>W17*25</f>
        <v/>
      </c>
      <c r="X18" s="60">
        <f>X17*25</f>
        <v/>
      </c>
      <c r="Y18" s="60">
        <f>Y17*25</f>
        <v/>
      </c>
      <c r="Z18" s="60">
        <f>Z17*25</f>
        <v/>
      </c>
      <c r="AA18" s="60">
        <f>AA17*25</f>
        <v/>
      </c>
      <c r="AB18" s="60">
        <f>AB17*25</f>
        <v/>
      </c>
      <c r="AC18" s="60">
        <f>AC17*25</f>
        <v/>
      </c>
      <c r="AD18" s="60">
        <f>AD17*25</f>
        <v/>
      </c>
      <c r="AE18" s="60">
        <f>AE17*25</f>
        <v/>
      </c>
      <c r="AF18" s="60">
        <f>AF17*25</f>
        <v/>
      </c>
      <c r="AG18" s="60">
        <f>AG17*25</f>
        <v/>
      </c>
      <c r="AH18" s="60">
        <f>AH17*25</f>
        <v/>
      </c>
      <c r="AI18" s="60">
        <f>AI17*25</f>
        <v/>
      </c>
      <c r="AJ18" s="60">
        <f>AJ17*25</f>
        <v/>
      </c>
      <c r="AK18" s="60">
        <f>AK17*25</f>
        <v/>
      </c>
      <c r="AL18" s="60">
        <f>AL17*25</f>
        <v/>
      </c>
      <c r="AM18" s="60">
        <f>AM17*25</f>
        <v/>
      </c>
      <c r="AN18" s="60">
        <f>AN17*25</f>
        <v/>
      </c>
      <c r="AP18" s="57" t="inlineStr">
        <is>
          <t>m² at 25 m² a space including circulation.</t>
        </is>
      </c>
    </row>
    <row r="20">
      <c r="B20" s="39" t="inlineStr">
        <is>
          <t>PEAK — WHAT YOU DESIGN AND PROCURE AGAINST</t>
        </is>
      </c>
      <c r="C20" s="40" t="n"/>
      <c r="D20" s="40" t="n"/>
      <c r="E20" s="40" t="n"/>
      <c r="F20" s="40" t="n"/>
      <c r="G20" s="40" t="n"/>
      <c r="H20" s="40" t="n"/>
      <c r="I20" s="40" t="n"/>
    </row>
    <row r="21">
      <c r="B21" s="4" t="inlineStr">
        <is>
          <t>Peak buses required</t>
        </is>
      </c>
      <c r="C21" s="64">
        <f>MAX(C11:AN11)</f>
        <v/>
      </c>
      <c r="E21" s="3" t="inlineStr">
        <is>
          <t>The fleet to contract. Consider one spare — a broken bus is 45 people late.</t>
        </is>
      </c>
    </row>
    <row r="22">
      <c r="B22" s="4" t="inlineStr">
        <is>
          <t>Peak seats per shift change</t>
        </is>
      </c>
      <c r="C22" s="62">
        <f>MAX(C10:AN10)</f>
        <v/>
      </c>
      <c r="E22" s="3" t="inlineStr"/>
    </row>
    <row r="23">
      <c r="B23" s="4" t="inlineStr">
        <is>
          <t>Peak parking spaces</t>
        </is>
      </c>
      <c r="C23" s="62">
        <f>MAX(C17:AN17)</f>
        <v/>
      </c>
      <c r="E23" s="3" t="inlineStr"/>
    </row>
    <row r="24">
      <c r="B24" s="4" t="inlineStr">
        <is>
          <t>Peak bus journeys per day</t>
        </is>
      </c>
      <c r="C24" s="64">
        <f>MAX(C12:AN12)</f>
        <v/>
      </c>
      <c r="E24"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AP25"/>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4" customWidth="1" min="2" max="2"/>
    <col width="7.2" customWidth="1" min="3" max="3"/>
    <col width="7.2" customWidth="1" min="4" max="4"/>
    <col width="7.2" customWidth="1" min="5" max="5"/>
    <col width="7.2" customWidth="1" min="6" max="6"/>
    <col width="7.2" customWidth="1" min="7" max="7"/>
    <col width="7.2" customWidth="1" min="8" max="8"/>
    <col width="7.2" customWidth="1" min="9" max="9"/>
    <col width="7.2" customWidth="1" min="10" max="10"/>
    <col width="7.2" customWidth="1" min="11" max="11"/>
    <col width="7.2" customWidth="1" min="12" max="12"/>
    <col width="7.2" customWidth="1" min="13" max="13"/>
    <col width="7.2" customWidth="1" min="14" max="14"/>
    <col width="7.2" customWidth="1" min="15" max="15"/>
    <col width="7.2" customWidth="1" min="16" max="16"/>
    <col width="7.2" customWidth="1" min="17" max="17"/>
    <col width="7.2" customWidth="1" min="18" max="18"/>
    <col width="7.2" customWidth="1" min="19" max="19"/>
    <col width="7.2" customWidth="1" min="20" max="20"/>
    <col width="7.2" customWidth="1" min="21" max="21"/>
    <col width="7.2" customWidth="1" min="22" max="22"/>
    <col width="7.2" customWidth="1" min="23" max="23"/>
    <col width="7.2" customWidth="1" min="24" max="24"/>
    <col width="7.2" customWidth="1" min="25" max="25"/>
    <col width="7.2" customWidth="1" min="26" max="26"/>
    <col width="7.2" customWidth="1" min="27" max="27"/>
    <col width="7.2" customWidth="1" min="28" max="28"/>
    <col width="7.2" customWidth="1" min="29" max="29"/>
    <col width="7.2" customWidth="1" min="30" max="30"/>
    <col width="7.2" customWidth="1" min="31" max="31"/>
    <col width="7.2" customWidth="1" min="32" max="32"/>
    <col width="7.2" customWidth="1" min="33" max="33"/>
    <col width="7.2" customWidth="1" min="34" max="34"/>
    <col width="7.2" customWidth="1" min="35" max="35"/>
    <col width="7.2" customWidth="1" min="36" max="36"/>
    <col width="7.2" customWidth="1" min="37" max="37"/>
    <col width="7.2" customWidth="1" min="38" max="38"/>
    <col width="7.2" customWidth="1" min="39" max="39"/>
    <col width="7.2" customWidth="1" min="40" max="40"/>
    <col width="62" customWidth="1" min="42" max="42"/>
  </cols>
  <sheetData>
    <row r="2">
      <c r="B2" s="1" t="inlineStr">
        <is>
          <t>RUNNING THE VILLAGE — WHO IT TAKES</t>
        </is>
      </c>
    </row>
    <row r="3">
      <c r="B3" s="3" t="inlineStr">
        <is>
          <t>A village is a hotel that never closes. These are the people who run it, scaled to occupancy.</t>
        </is>
      </c>
    </row>
    <row r="5">
      <c r="B5" s="6" t="inlineStr">
        <is>
          <t>Month</t>
        </is>
      </c>
      <c r="C5" s="36">
        <f>Workforce!C5</f>
        <v/>
      </c>
      <c r="D5" s="36">
        <f>Workforce!D5</f>
        <v/>
      </c>
      <c r="E5" s="36">
        <f>Workforce!E5</f>
        <v/>
      </c>
      <c r="F5" s="36">
        <f>Workforce!F5</f>
        <v/>
      </c>
      <c r="G5" s="36">
        <f>Workforce!G5</f>
        <v/>
      </c>
      <c r="H5" s="36">
        <f>Workforce!H5</f>
        <v/>
      </c>
      <c r="I5" s="36">
        <f>Workforce!I5</f>
        <v/>
      </c>
      <c r="J5" s="36">
        <f>Workforce!J5</f>
        <v/>
      </c>
      <c r="K5" s="36">
        <f>Workforce!K5</f>
        <v/>
      </c>
      <c r="L5" s="36">
        <f>Workforce!L5</f>
        <v/>
      </c>
      <c r="M5" s="36">
        <f>Workforce!M5</f>
        <v/>
      </c>
      <c r="N5" s="36">
        <f>Workforce!N5</f>
        <v/>
      </c>
      <c r="O5" s="36">
        <f>Workforce!O5</f>
        <v/>
      </c>
      <c r="P5" s="36">
        <f>Workforce!P5</f>
        <v/>
      </c>
      <c r="Q5" s="36">
        <f>Workforce!Q5</f>
        <v/>
      </c>
      <c r="R5" s="36">
        <f>Workforce!R5</f>
        <v/>
      </c>
      <c r="S5" s="36">
        <f>Workforce!S5</f>
        <v/>
      </c>
      <c r="T5" s="36">
        <f>Workforce!T5</f>
        <v/>
      </c>
      <c r="U5" s="36">
        <f>Workforce!U5</f>
        <v/>
      </c>
      <c r="V5" s="36">
        <f>Workforce!V5</f>
        <v/>
      </c>
      <c r="W5" s="36">
        <f>Workforce!W5</f>
        <v/>
      </c>
      <c r="X5" s="36">
        <f>Workforce!X5</f>
        <v/>
      </c>
      <c r="Y5" s="36">
        <f>Workforce!Y5</f>
        <v/>
      </c>
      <c r="Z5" s="36">
        <f>Workforce!Z5</f>
        <v/>
      </c>
      <c r="AA5" s="36">
        <f>Workforce!AA5</f>
        <v/>
      </c>
      <c r="AB5" s="36">
        <f>Workforce!AB5</f>
        <v/>
      </c>
      <c r="AC5" s="36">
        <f>Workforce!AC5</f>
        <v/>
      </c>
      <c r="AD5" s="36">
        <f>Workforce!AD5</f>
        <v/>
      </c>
      <c r="AE5" s="36">
        <f>Workforce!AE5</f>
        <v/>
      </c>
      <c r="AF5" s="36">
        <f>Workforce!AF5</f>
        <v/>
      </c>
      <c r="AG5" s="36">
        <f>Workforce!AG5</f>
        <v/>
      </c>
      <c r="AH5" s="36">
        <f>Workforce!AH5</f>
        <v/>
      </c>
      <c r="AI5" s="36">
        <f>Workforce!AI5</f>
        <v/>
      </c>
      <c r="AJ5" s="36">
        <f>Workforce!AJ5</f>
        <v/>
      </c>
      <c r="AK5" s="36">
        <f>Workforce!AK5</f>
        <v/>
      </c>
      <c r="AL5" s="36">
        <f>Workforce!AL5</f>
        <v/>
      </c>
      <c r="AM5" s="36">
        <f>Workforce!AM5</f>
        <v/>
      </c>
      <c r="AN5" s="36">
        <f>Workforce!AN5</f>
        <v/>
      </c>
      <c r="AP5" s="6" t="inlineStr">
        <is>
          <t>Basis, and what to verify</t>
        </is>
      </c>
    </row>
    <row r="6">
      <c r="B6" s="6" t="inlineStr">
        <is>
          <t>Month number</t>
        </is>
      </c>
      <c r="C6" s="32" t="n">
        <v>1</v>
      </c>
      <c r="D6" s="32" t="n">
        <v>2</v>
      </c>
      <c r="E6" s="32" t="n">
        <v>3</v>
      </c>
      <c r="F6" s="32" t="n">
        <v>4</v>
      </c>
      <c r="G6" s="32" t="n">
        <v>5</v>
      </c>
      <c r="H6" s="32" t="n">
        <v>6</v>
      </c>
      <c r="I6" s="32" t="n">
        <v>7</v>
      </c>
      <c r="J6" s="32" t="n">
        <v>8</v>
      </c>
      <c r="K6" s="32" t="n">
        <v>9</v>
      </c>
      <c r="L6" s="32" t="n">
        <v>10</v>
      </c>
      <c r="M6" s="32" t="n">
        <v>11</v>
      </c>
      <c r="N6" s="32" t="n">
        <v>12</v>
      </c>
      <c r="O6" s="32" t="n">
        <v>13</v>
      </c>
      <c r="P6" s="32" t="n">
        <v>14</v>
      </c>
      <c r="Q6" s="32" t="n">
        <v>15</v>
      </c>
      <c r="R6" s="32" t="n">
        <v>16</v>
      </c>
      <c r="S6" s="32" t="n">
        <v>17</v>
      </c>
      <c r="T6" s="32" t="n">
        <v>18</v>
      </c>
      <c r="U6" s="32" t="n">
        <v>19</v>
      </c>
      <c r="V6" s="32" t="n">
        <v>20</v>
      </c>
      <c r="W6" s="32" t="n">
        <v>21</v>
      </c>
      <c r="X6" s="32" t="n">
        <v>22</v>
      </c>
      <c r="Y6" s="32" t="n">
        <v>23</v>
      </c>
      <c r="Z6" s="32" t="n">
        <v>24</v>
      </c>
      <c r="AA6" s="32" t="n">
        <v>25</v>
      </c>
      <c r="AB6" s="32" t="n">
        <v>26</v>
      </c>
      <c r="AC6" s="32" t="n">
        <v>27</v>
      </c>
      <c r="AD6" s="32" t="n">
        <v>28</v>
      </c>
      <c r="AE6" s="32" t="n">
        <v>29</v>
      </c>
      <c r="AF6" s="32" t="n">
        <v>30</v>
      </c>
      <c r="AG6" s="32" t="n">
        <v>31</v>
      </c>
      <c r="AH6" s="32" t="n">
        <v>32</v>
      </c>
      <c r="AI6" s="32" t="n">
        <v>33</v>
      </c>
      <c r="AJ6" s="32" t="n">
        <v>34</v>
      </c>
      <c r="AK6" s="32" t="n">
        <v>35</v>
      </c>
      <c r="AL6" s="32" t="n">
        <v>36</v>
      </c>
      <c r="AM6" s="32" t="n">
        <v>37</v>
      </c>
      <c r="AN6" s="32" t="n">
        <v>38</v>
      </c>
    </row>
    <row r="7">
      <c r="B7" s="6" t="inlineStr">
        <is>
          <t>Residents in village</t>
        </is>
      </c>
      <c r="C7" s="58" t="inlineStr">
        <is>
          <t>BedDemand!C10</t>
        </is>
      </c>
      <c r="D7" s="58" t="inlineStr">
        <is>
          <t>BedDemand!D10</t>
        </is>
      </c>
      <c r="E7" s="58" t="inlineStr">
        <is>
          <t>BedDemand!E10</t>
        </is>
      </c>
      <c r="F7" s="58" t="inlineStr">
        <is>
          <t>BedDemand!F10</t>
        </is>
      </c>
      <c r="G7" s="58" t="inlineStr">
        <is>
          <t>BedDemand!G10</t>
        </is>
      </c>
      <c r="H7" s="58" t="inlineStr">
        <is>
          <t>BedDemand!H10</t>
        </is>
      </c>
      <c r="I7" s="58" t="inlineStr">
        <is>
          <t>BedDemand!I10</t>
        </is>
      </c>
      <c r="J7" s="58" t="inlineStr">
        <is>
          <t>BedDemand!J10</t>
        </is>
      </c>
      <c r="K7" s="58" t="inlineStr">
        <is>
          <t>BedDemand!K10</t>
        </is>
      </c>
      <c r="L7" s="58" t="inlineStr">
        <is>
          <t>BedDemand!L10</t>
        </is>
      </c>
      <c r="M7" s="58" t="inlineStr">
        <is>
          <t>BedDemand!M10</t>
        </is>
      </c>
      <c r="N7" s="58" t="inlineStr">
        <is>
          <t>BedDemand!N10</t>
        </is>
      </c>
      <c r="O7" s="58" t="inlineStr">
        <is>
          <t>BedDemand!O10</t>
        </is>
      </c>
      <c r="P7" s="58" t="inlineStr">
        <is>
          <t>BedDemand!P10</t>
        </is>
      </c>
      <c r="Q7" s="58" t="inlineStr">
        <is>
          <t>BedDemand!Q10</t>
        </is>
      </c>
      <c r="R7" s="58" t="inlineStr">
        <is>
          <t>BedDemand!R10</t>
        </is>
      </c>
      <c r="S7" s="58" t="inlineStr">
        <is>
          <t>BedDemand!S10</t>
        </is>
      </c>
      <c r="T7" s="58" t="inlineStr">
        <is>
          <t>BedDemand!T10</t>
        </is>
      </c>
      <c r="U7" s="58" t="inlineStr">
        <is>
          <t>BedDemand!U10</t>
        </is>
      </c>
      <c r="V7" s="58" t="inlineStr">
        <is>
          <t>BedDemand!V10</t>
        </is>
      </c>
      <c r="W7" s="58" t="inlineStr">
        <is>
          <t>BedDemand!W10</t>
        </is>
      </c>
      <c r="X7" s="58" t="inlineStr">
        <is>
          <t>BedDemand!X10</t>
        </is>
      </c>
      <c r="Y7" s="58" t="inlineStr">
        <is>
          <t>BedDemand!Y10</t>
        </is>
      </c>
      <c r="Z7" s="58" t="inlineStr">
        <is>
          <t>BedDemand!Z10</t>
        </is>
      </c>
      <c r="AA7" s="58" t="inlineStr">
        <is>
          <t>BedDemand!AA10</t>
        </is>
      </c>
      <c r="AB7" s="58" t="inlineStr">
        <is>
          <t>BedDemand!AB10</t>
        </is>
      </c>
      <c r="AC7" s="58" t="inlineStr">
        <is>
          <t>BedDemand!AC10</t>
        </is>
      </c>
      <c r="AD7" s="58" t="inlineStr">
        <is>
          <t>BedDemand!AD10</t>
        </is>
      </c>
      <c r="AE7" s="58" t="inlineStr">
        <is>
          <t>BedDemand!AE10</t>
        </is>
      </c>
      <c r="AF7" s="58" t="inlineStr">
        <is>
          <t>BedDemand!AF10</t>
        </is>
      </c>
      <c r="AG7" s="58" t="inlineStr">
        <is>
          <t>BedDemand!AG10</t>
        </is>
      </c>
      <c r="AH7" s="58" t="inlineStr">
        <is>
          <t>BedDemand!AH10</t>
        </is>
      </c>
      <c r="AI7" s="58" t="inlineStr">
        <is>
          <t>BedDemand!AI10</t>
        </is>
      </c>
      <c r="AJ7" s="58" t="inlineStr">
        <is>
          <t>BedDemand!AJ10</t>
        </is>
      </c>
      <c r="AK7" s="58" t="inlineStr">
        <is>
          <t>BedDemand!AK10</t>
        </is>
      </c>
      <c r="AL7" s="58" t="inlineStr">
        <is>
          <t>BedDemand!AL10</t>
        </is>
      </c>
      <c r="AM7" s="58" t="inlineStr">
        <is>
          <t>BedDemand!AM10</t>
        </is>
      </c>
      <c r="AN7" s="58" t="inlineStr">
        <is>
          <t>BedDemand!AN10</t>
        </is>
      </c>
    </row>
    <row r="8">
      <c r="B8" s="4" t="inlineStr">
        <is>
          <t>Rooms in service</t>
        </is>
      </c>
      <c r="C8" s="60" t="inlineStr">
        <is>
          <t>BedDemand!C14</t>
        </is>
      </c>
      <c r="D8" s="60" t="inlineStr">
        <is>
          <t>BedDemand!D14</t>
        </is>
      </c>
      <c r="E8" s="60" t="inlineStr">
        <is>
          <t>BedDemand!E14</t>
        </is>
      </c>
      <c r="F8" s="60" t="inlineStr">
        <is>
          <t>BedDemand!F14</t>
        </is>
      </c>
      <c r="G8" s="60" t="inlineStr">
        <is>
          <t>BedDemand!G14</t>
        </is>
      </c>
      <c r="H8" s="60" t="inlineStr">
        <is>
          <t>BedDemand!H14</t>
        </is>
      </c>
      <c r="I8" s="60" t="inlineStr">
        <is>
          <t>BedDemand!I14</t>
        </is>
      </c>
      <c r="J8" s="60" t="inlineStr">
        <is>
          <t>BedDemand!J14</t>
        </is>
      </c>
      <c r="K8" s="60" t="inlineStr">
        <is>
          <t>BedDemand!K14</t>
        </is>
      </c>
      <c r="L8" s="60" t="inlineStr">
        <is>
          <t>BedDemand!L14</t>
        </is>
      </c>
      <c r="M8" s="60" t="inlineStr">
        <is>
          <t>BedDemand!M14</t>
        </is>
      </c>
      <c r="N8" s="60" t="inlineStr">
        <is>
          <t>BedDemand!N14</t>
        </is>
      </c>
      <c r="O8" s="60" t="inlineStr">
        <is>
          <t>BedDemand!O14</t>
        </is>
      </c>
      <c r="P8" s="60" t="inlineStr">
        <is>
          <t>BedDemand!P14</t>
        </is>
      </c>
      <c r="Q8" s="60" t="inlineStr">
        <is>
          <t>BedDemand!Q14</t>
        </is>
      </c>
      <c r="R8" s="60" t="inlineStr">
        <is>
          <t>BedDemand!R14</t>
        </is>
      </c>
      <c r="S8" s="60" t="inlineStr">
        <is>
          <t>BedDemand!S14</t>
        </is>
      </c>
      <c r="T8" s="60" t="inlineStr">
        <is>
          <t>BedDemand!T14</t>
        </is>
      </c>
      <c r="U8" s="60" t="inlineStr">
        <is>
          <t>BedDemand!U14</t>
        </is>
      </c>
      <c r="V8" s="60" t="inlineStr">
        <is>
          <t>BedDemand!V14</t>
        </is>
      </c>
      <c r="W8" s="60" t="inlineStr">
        <is>
          <t>BedDemand!W14</t>
        </is>
      </c>
      <c r="X8" s="60" t="inlineStr">
        <is>
          <t>BedDemand!X14</t>
        </is>
      </c>
      <c r="Y8" s="60" t="inlineStr">
        <is>
          <t>BedDemand!Y14</t>
        </is>
      </c>
      <c r="Z8" s="60" t="inlineStr">
        <is>
          <t>BedDemand!Z14</t>
        </is>
      </c>
      <c r="AA8" s="60" t="inlineStr">
        <is>
          <t>BedDemand!AA14</t>
        </is>
      </c>
      <c r="AB8" s="60" t="inlineStr">
        <is>
          <t>BedDemand!AB14</t>
        </is>
      </c>
      <c r="AC8" s="60" t="inlineStr">
        <is>
          <t>BedDemand!AC14</t>
        </is>
      </c>
      <c r="AD8" s="60" t="inlineStr">
        <is>
          <t>BedDemand!AD14</t>
        </is>
      </c>
      <c r="AE8" s="60" t="inlineStr">
        <is>
          <t>BedDemand!AE14</t>
        </is>
      </c>
      <c r="AF8" s="60" t="inlineStr">
        <is>
          <t>BedDemand!AF14</t>
        </is>
      </c>
      <c r="AG8" s="60" t="inlineStr">
        <is>
          <t>BedDemand!AG14</t>
        </is>
      </c>
      <c r="AH8" s="60" t="inlineStr">
        <is>
          <t>BedDemand!AH14</t>
        </is>
      </c>
      <c r="AI8" s="60" t="inlineStr">
        <is>
          <t>BedDemand!AI14</t>
        </is>
      </c>
      <c r="AJ8" s="60" t="inlineStr">
        <is>
          <t>BedDemand!AJ14</t>
        </is>
      </c>
      <c r="AK8" s="60" t="inlineStr">
        <is>
          <t>BedDemand!AK14</t>
        </is>
      </c>
      <c r="AL8" s="60" t="inlineStr">
        <is>
          <t>BedDemand!AL14</t>
        </is>
      </c>
      <c r="AM8" s="60" t="inlineStr">
        <is>
          <t>BedDemand!AM14</t>
        </is>
      </c>
      <c r="AN8" s="60" t="inlineStr">
        <is>
          <t>BedDemand!AN14</t>
        </is>
      </c>
      <c r="AP8" s="57" t="inlineStr">
        <is>
          <t>Including void and visitor rooms — they still get cleaned.</t>
        </is>
      </c>
    </row>
    <row r="10">
      <c r="B10" s="4" t="inlineStr">
        <is>
          <t>Village management</t>
        </is>
      </c>
      <c r="C10" s="59">
        <f>IF(BedDemand!C10&gt;0,Assumptions!$C$79,0)</f>
        <v/>
      </c>
      <c r="D10" s="59">
        <f>IF(BedDemand!D10&gt;0,Assumptions!$C$79,0)</f>
        <v/>
      </c>
      <c r="E10" s="59">
        <f>IF(BedDemand!E10&gt;0,Assumptions!$C$79,0)</f>
        <v/>
      </c>
      <c r="F10" s="59">
        <f>IF(BedDemand!F10&gt;0,Assumptions!$C$79,0)</f>
        <v/>
      </c>
      <c r="G10" s="59">
        <f>IF(BedDemand!G10&gt;0,Assumptions!$C$79,0)</f>
        <v/>
      </c>
      <c r="H10" s="59">
        <f>IF(BedDemand!H10&gt;0,Assumptions!$C$79,0)</f>
        <v/>
      </c>
      <c r="I10" s="59">
        <f>IF(BedDemand!I10&gt;0,Assumptions!$C$79,0)</f>
        <v/>
      </c>
      <c r="J10" s="59">
        <f>IF(BedDemand!J10&gt;0,Assumptions!$C$79,0)</f>
        <v/>
      </c>
      <c r="K10" s="59">
        <f>IF(BedDemand!K10&gt;0,Assumptions!$C$79,0)</f>
        <v/>
      </c>
      <c r="L10" s="59">
        <f>IF(BedDemand!L10&gt;0,Assumptions!$C$79,0)</f>
        <v/>
      </c>
      <c r="M10" s="59">
        <f>IF(BedDemand!M10&gt;0,Assumptions!$C$79,0)</f>
        <v/>
      </c>
      <c r="N10" s="59">
        <f>IF(BedDemand!N10&gt;0,Assumptions!$C$79,0)</f>
        <v/>
      </c>
      <c r="O10" s="59">
        <f>IF(BedDemand!O10&gt;0,Assumptions!$C$79,0)</f>
        <v/>
      </c>
      <c r="P10" s="59">
        <f>IF(BedDemand!P10&gt;0,Assumptions!$C$79,0)</f>
        <v/>
      </c>
      <c r="Q10" s="59">
        <f>IF(BedDemand!Q10&gt;0,Assumptions!$C$79,0)</f>
        <v/>
      </c>
      <c r="R10" s="59">
        <f>IF(BedDemand!R10&gt;0,Assumptions!$C$79,0)</f>
        <v/>
      </c>
      <c r="S10" s="59">
        <f>IF(BedDemand!S10&gt;0,Assumptions!$C$79,0)</f>
        <v/>
      </c>
      <c r="T10" s="59">
        <f>IF(BedDemand!T10&gt;0,Assumptions!$C$79,0)</f>
        <v/>
      </c>
      <c r="U10" s="59">
        <f>IF(BedDemand!U10&gt;0,Assumptions!$C$79,0)</f>
        <v/>
      </c>
      <c r="V10" s="59">
        <f>IF(BedDemand!V10&gt;0,Assumptions!$C$79,0)</f>
        <v/>
      </c>
      <c r="W10" s="59">
        <f>IF(BedDemand!W10&gt;0,Assumptions!$C$79,0)</f>
        <v/>
      </c>
      <c r="X10" s="59">
        <f>IF(BedDemand!X10&gt;0,Assumptions!$C$79,0)</f>
        <v/>
      </c>
      <c r="Y10" s="59">
        <f>IF(BedDemand!Y10&gt;0,Assumptions!$C$79,0)</f>
        <v/>
      </c>
      <c r="Z10" s="59">
        <f>IF(BedDemand!Z10&gt;0,Assumptions!$C$79,0)</f>
        <v/>
      </c>
      <c r="AA10" s="59">
        <f>IF(BedDemand!AA10&gt;0,Assumptions!$C$79,0)</f>
        <v/>
      </c>
      <c r="AB10" s="59">
        <f>IF(BedDemand!AB10&gt;0,Assumptions!$C$79,0)</f>
        <v/>
      </c>
      <c r="AC10" s="59">
        <f>IF(BedDemand!AC10&gt;0,Assumptions!$C$79,0)</f>
        <v/>
      </c>
      <c r="AD10" s="59">
        <f>IF(BedDemand!AD10&gt;0,Assumptions!$C$79,0)</f>
        <v/>
      </c>
      <c r="AE10" s="59">
        <f>IF(BedDemand!AE10&gt;0,Assumptions!$C$79,0)</f>
        <v/>
      </c>
      <c r="AF10" s="59">
        <f>IF(BedDemand!AF10&gt;0,Assumptions!$C$79,0)</f>
        <v/>
      </c>
      <c r="AG10" s="59">
        <f>IF(BedDemand!AG10&gt;0,Assumptions!$C$79,0)</f>
        <v/>
      </c>
      <c r="AH10" s="59">
        <f>IF(BedDemand!AH10&gt;0,Assumptions!$C$79,0)</f>
        <v/>
      </c>
      <c r="AI10" s="59">
        <f>IF(BedDemand!AI10&gt;0,Assumptions!$C$79,0)</f>
        <v/>
      </c>
      <c r="AJ10" s="59">
        <f>IF(BedDemand!AJ10&gt;0,Assumptions!$C$79,0)</f>
        <v/>
      </c>
      <c r="AK10" s="59">
        <f>IF(BedDemand!AK10&gt;0,Assumptions!$C$79,0)</f>
        <v/>
      </c>
      <c r="AL10" s="59">
        <f>IF(BedDemand!AL10&gt;0,Assumptions!$C$79,0)</f>
        <v/>
      </c>
      <c r="AM10" s="59">
        <f>IF(BedDemand!AM10&gt;0,Assumptions!$C$79,0)</f>
        <v/>
      </c>
      <c r="AN10" s="59">
        <f>IF(BedDemand!AN10&gt;0,Assumptions!$C$79,0)</f>
        <v/>
      </c>
      <c r="AP10" s="57" t="inlineStr">
        <is>
          <t>Village manager and deputy. Below about 150 beds, one.</t>
        </is>
      </c>
    </row>
    <row r="11" ht="24" customHeight="1">
      <c r="B11" s="4" t="inlineStr">
        <is>
          <t>Reception (24/7)</t>
        </is>
      </c>
      <c r="C11" s="59">
        <f>IF(BedDemand!C10&gt;0,Assumptions!$C$74*Assumptions!$C$73,0)</f>
        <v/>
      </c>
      <c r="D11" s="59">
        <f>IF(BedDemand!D10&gt;0,Assumptions!$C$74*Assumptions!$C$73,0)</f>
        <v/>
      </c>
      <c r="E11" s="59">
        <f>IF(BedDemand!E10&gt;0,Assumptions!$C$74*Assumptions!$C$73,0)</f>
        <v/>
      </c>
      <c r="F11" s="59">
        <f>IF(BedDemand!F10&gt;0,Assumptions!$C$74*Assumptions!$C$73,0)</f>
        <v/>
      </c>
      <c r="G11" s="59">
        <f>IF(BedDemand!G10&gt;0,Assumptions!$C$74*Assumptions!$C$73,0)</f>
        <v/>
      </c>
      <c r="H11" s="59">
        <f>IF(BedDemand!H10&gt;0,Assumptions!$C$74*Assumptions!$C$73,0)</f>
        <v/>
      </c>
      <c r="I11" s="59">
        <f>IF(BedDemand!I10&gt;0,Assumptions!$C$74*Assumptions!$C$73,0)</f>
        <v/>
      </c>
      <c r="J11" s="59">
        <f>IF(BedDemand!J10&gt;0,Assumptions!$C$74*Assumptions!$C$73,0)</f>
        <v/>
      </c>
      <c r="K11" s="59">
        <f>IF(BedDemand!K10&gt;0,Assumptions!$C$74*Assumptions!$C$73,0)</f>
        <v/>
      </c>
      <c r="L11" s="59">
        <f>IF(BedDemand!L10&gt;0,Assumptions!$C$74*Assumptions!$C$73,0)</f>
        <v/>
      </c>
      <c r="M11" s="59">
        <f>IF(BedDemand!M10&gt;0,Assumptions!$C$74*Assumptions!$C$73,0)</f>
        <v/>
      </c>
      <c r="N11" s="59">
        <f>IF(BedDemand!N10&gt;0,Assumptions!$C$74*Assumptions!$C$73,0)</f>
        <v/>
      </c>
      <c r="O11" s="59">
        <f>IF(BedDemand!O10&gt;0,Assumptions!$C$74*Assumptions!$C$73,0)</f>
        <v/>
      </c>
      <c r="P11" s="59">
        <f>IF(BedDemand!P10&gt;0,Assumptions!$C$74*Assumptions!$C$73,0)</f>
        <v/>
      </c>
      <c r="Q11" s="59">
        <f>IF(BedDemand!Q10&gt;0,Assumptions!$C$74*Assumptions!$C$73,0)</f>
        <v/>
      </c>
      <c r="R11" s="59">
        <f>IF(BedDemand!R10&gt;0,Assumptions!$C$74*Assumptions!$C$73,0)</f>
        <v/>
      </c>
      <c r="S11" s="59">
        <f>IF(BedDemand!S10&gt;0,Assumptions!$C$74*Assumptions!$C$73,0)</f>
        <v/>
      </c>
      <c r="T11" s="59">
        <f>IF(BedDemand!T10&gt;0,Assumptions!$C$74*Assumptions!$C$73,0)</f>
        <v/>
      </c>
      <c r="U11" s="59">
        <f>IF(BedDemand!U10&gt;0,Assumptions!$C$74*Assumptions!$C$73,0)</f>
        <v/>
      </c>
      <c r="V11" s="59">
        <f>IF(BedDemand!V10&gt;0,Assumptions!$C$74*Assumptions!$C$73,0)</f>
        <v/>
      </c>
      <c r="W11" s="59">
        <f>IF(BedDemand!W10&gt;0,Assumptions!$C$74*Assumptions!$C$73,0)</f>
        <v/>
      </c>
      <c r="X11" s="59">
        <f>IF(BedDemand!X10&gt;0,Assumptions!$C$74*Assumptions!$C$73,0)</f>
        <v/>
      </c>
      <c r="Y11" s="59">
        <f>IF(BedDemand!Y10&gt;0,Assumptions!$C$74*Assumptions!$C$73,0)</f>
        <v/>
      </c>
      <c r="Z11" s="59">
        <f>IF(BedDemand!Z10&gt;0,Assumptions!$C$74*Assumptions!$C$73,0)</f>
        <v/>
      </c>
      <c r="AA11" s="59">
        <f>IF(BedDemand!AA10&gt;0,Assumptions!$C$74*Assumptions!$C$73,0)</f>
        <v/>
      </c>
      <c r="AB11" s="59">
        <f>IF(BedDemand!AB10&gt;0,Assumptions!$C$74*Assumptions!$C$73,0)</f>
        <v/>
      </c>
      <c r="AC11" s="59">
        <f>IF(BedDemand!AC10&gt;0,Assumptions!$C$74*Assumptions!$C$73,0)</f>
        <v/>
      </c>
      <c r="AD11" s="59">
        <f>IF(BedDemand!AD10&gt;0,Assumptions!$C$74*Assumptions!$C$73,0)</f>
        <v/>
      </c>
      <c r="AE11" s="59">
        <f>IF(BedDemand!AE10&gt;0,Assumptions!$C$74*Assumptions!$C$73,0)</f>
        <v/>
      </c>
      <c r="AF11" s="59">
        <f>IF(BedDemand!AF10&gt;0,Assumptions!$C$74*Assumptions!$C$73,0)</f>
        <v/>
      </c>
      <c r="AG11" s="59">
        <f>IF(BedDemand!AG10&gt;0,Assumptions!$C$74*Assumptions!$C$73,0)</f>
        <v/>
      </c>
      <c r="AH11" s="59">
        <f>IF(BedDemand!AH10&gt;0,Assumptions!$C$74*Assumptions!$C$73,0)</f>
        <v/>
      </c>
      <c r="AI11" s="59">
        <f>IF(BedDemand!AI10&gt;0,Assumptions!$C$74*Assumptions!$C$73,0)</f>
        <v/>
      </c>
      <c r="AJ11" s="59">
        <f>IF(BedDemand!AJ10&gt;0,Assumptions!$C$74*Assumptions!$C$73,0)</f>
        <v/>
      </c>
      <c r="AK11" s="59">
        <f>IF(BedDemand!AK10&gt;0,Assumptions!$C$74*Assumptions!$C$73,0)</f>
        <v/>
      </c>
      <c r="AL11" s="59">
        <f>IF(BedDemand!AL10&gt;0,Assumptions!$C$74*Assumptions!$C$73,0)</f>
        <v/>
      </c>
      <c r="AM11" s="59">
        <f>IF(BedDemand!AM10&gt;0,Assumptions!$C$74*Assumptions!$C$73,0)</f>
        <v/>
      </c>
      <c r="AN11" s="59">
        <f>IF(BedDemand!AN10&gt;0,Assumptions!$C$74*Assumptions!$C$73,0)</f>
        <v/>
      </c>
      <c r="AP11" s="57" t="inlineStr">
        <is>
          <t>Posts × the 24/7 cover factor on Assumptions, which includes leave, sickness and training cover.</t>
        </is>
      </c>
    </row>
    <row r="12" ht="24" customHeight="1">
      <c r="B12" s="4" t="inlineStr">
        <is>
          <t>Security (24/7)</t>
        </is>
      </c>
      <c r="C12" s="59">
        <f>IF(BedDemand!C10&gt;0,Assumptions!$C$75*Assumptions!$C$73,0)</f>
        <v/>
      </c>
      <c r="D12" s="59">
        <f>IF(BedDemand!D10&gt;0,Assumptions!$C$75*Assumptions!$C$73,0)</f>
        <v/>
      </c>
      <c r="E12" s="59">
        <f>IF(BedDemand!E10&gt;0,Assumptions!$C$75*Assumptions!$C$73,0)</f>
        <v/>
      </c>
      <c r="F12" s="59">
        <f>IF(BedDemand!F10&gt;0,Assumptions!$C$75*Assumptions!$C$73,0)</f>
        <v/>
      </c>
      <c r="G12" s="59">
        <f>IF(BedDemand!G10&gt;0,Assumptions!$C$75*Assumptions!$C$73,0)</f>
        <v/>
      </c>
      <c r="H12" s="59">
        <f>IF(BedDemand!H10&gt;0,Assumptions!$C$75*Assumptions!$C$73,0)</f>
        <v/>
      </c>
      <c r="I12" s="59">
        <f>IF(BedDemand!I10&gt;0,Assumptions!$C$75*Assumptions!$C$73,0)</f>
        <v/>
      </c>
      <c r="J12" s="59">
        <f>IF(BedDemand!J10&gt;0,Assumptions!$C$75*Assumptions!$C$73,0)</f>
        <v/>
      </c>
      <c r="K12" s="59">
        <f>IF(BedDemand!K10&gt;0,Assumptions!$C$75*Assumptions!$C$73,0)</f>
        <v/>
      </c>
      <c r="L12" s="59">
        <f>IF(BedDemand!L10&gt;0,Assumptions!$C$75*Assumptions!$C$73,0)</f>
        <v/>
      </c>
      <c r="M12" s="59">
        <f>IF(BedDemand!M10&gt;0,Assumptions!$C$75*Assumptions!$C$73,0)</f>
        <v/>
      </c>
      <c r="N12" s="59">
        <f>IF(BedDemand!N10&gt;0,Assumptions!$C$75*Assumptions!$C$73,0)</f>
        <v/>
      </c>
      <c r="O12" s="59">
        <f>IF(BedDemand!O10&gt;0,Assumptions!$C$75*Assumptions!$C$73,0)</f>
        <v/>
      </c>
      <c r="P12" s="59">
        <f>IF(BedDemand!P10&gt;0,Assumptions!$C$75*Assumptions!$C$73,0)</f>
        <v/>
      </c>
      <c r="Q12" s="59">
        <f>IF(BedDemand!Q10&gt;0,Assumptions!$C$75*Assumptions!$C$73,0)</f>
        <v/>
      </c>
      <c r="R12" s="59">
        <f>IF(BedDemand!R10&gt;0,Assumptions!$C$75*Assumptions!$C$73,0)</f>
        <v/>
      </c>
      <c r="S12" s="59">
        <f>IF(BedDemand!S10&gt;0,Assumptions!$C$75*Assumptions!$C$73,0)</f>
        <v/>
      </c>
      <c r="T12" s="59">
        <f>IF(BedDemand!T10&gt;0,Assumptions!$C$75*Assumptions!$C$73,0)</f>
        <v/>
      </c>
      <c r="U12" s="59">
        <f>IF(BedDemand!U10&gt;0,Assumptions!$C$75*Assumptions!$C$73,0)</f>
        <v/>
      </c>
      <c r="V12" s="59">
        <f>IF(BedDemand!V10&gt;0,Assumptions!$C$75*Assumptions!$C$73,0)</f>
        <v/>
      </c>
      <c r="W12" s="59">
        <f>IF(BedDemand!W10&gt;0,Assumptions!$C$75*Assumptions!$C$73,0)</f>
        <v/>
      </c>
      <c r="X12" s="59">
        <f>IF(BedDemand!X10&gt;0,Assumptions!$C$75*Assumptions!$C$73,0)</f>
        <v/>
      </c>
      <c r="Y12" s="59">
        <f>IF(BedDemand!Y10&gt;0,Assumptions!$C$75*Assumptions!$C$73,0)</f>
        <v/>
      </c>
      <c r="Z12" s="59">
        <f>IF(BedDemand!Z10&gt;0,Assumptions!$C$75*Assumptions!$C$73,0)</f>
        <v/>
      </c>
      <c r="AA12" s="59">
        <f>IF(BedDemand!AA10&gt;0,Assumptions!$C$75*Assumptions!$C$73,0)</f>
        <v/>
      </c>
      <c r="AB12" s="59">
        <f>IF(BedDemand!AB10&gt;0,Assumptions!$C$75*Assumptions!$C$73,0)</f>
        <v/>
      </c>
      <c r="AC12" s="59">
        <f>IF(BedDemand!AC10&gt;0,Assumptions!$C$75*Assumptions!$C$73,0)</f>
        <v/>
      </c>
      <c r="AD12" s="59">
        <f>IF(BedDemand!AD10&gt;0,Assumptions!$C$75*Assumptions!$C$73,0)</f>
        <v/>
      </c>
      <c r="AE12" s="59">
        <f>IF(BedDemand!AE10&gt;0,Assumptions!$C$75*Assumptions!$C$73,0)</f>
        <v/>
      </c>
      <c r="AF12" s="59">
        <f>IF(BedDemand!AF10&gt;0,Assumptions!$C$75*Assumptions!$C$73,0)</f>
        <v/>
      </c>
      <c r="AG12" s="59">
        <f>IF(BedDemand!AG10&gt;0,Assumptions!$C$75*Assumptions!$C$73,0)</f>
        <v/>
      </c>
      <c r="AH12" s="59">
        <f>IF(BedDemand!AH10&gt;0,Assumptions!$C$75*Assumptions!$C$73,0)</f>
        <v/>
      </c>
      <c r="AI12" s="59">
        <f>IF(BedDemand!AI10&gt;0,Assumptions!$C$75*Assumptions!$C$73,0)</f>
        <v/>
      </c>
      <c r="AJ12" s="59">
        <f>IF(BedDemand!AJ10&gt;0,Assumptions!$C$75*Assumptions!$C$73,0)</f>
        <v/>
      </c>
      <c r="AK12" s="59">
        <f>IF(BedDemand!AK10&gt;0,Assumptions!$C$75*Assumptions!$C$73,0)</f>
        <v/>
      </c>
      <c r="AL12" s="59">
        <f>IF(BedDemand!AL10&gt;0,Assumptions!$C$75*Assumptions!$C$73,0)</f>
        <v/>
      </c>
      <c r="AM12" s="59">
        <f>IF(BedDemand!AM10&gt;0,Assumptions!$C$75*Assumptions!$C$73,0)</f>
        <v/>
      </c>
      <c r="AN12" s="59">
        <f>IF(BedDemand!AN10&gt;0,Assumptions!$C$75*Assumptions!$C$73,0)</f>
        <v/>
      </c>
      <c r="AP12" s="57" t="inlineStr">
        <is>
          <t>Gatehouse plus patrol. Confirm the posts against the security risk assessment, not against this workbook.</t>
        </is>
      </c>
    </row>
    <row r="13">
      <c r="B13" s="4" t="inlineStr">
        <is>
          <t>Housekeeping</t>
        </is>
      </c>
      <c r="C13" s="59">
        <f>ROUNDUP(BedDemand!C14/Assumptions!$C$76,1)</f>
        <v/>
      </c>
      <c r="D13" s="59">
        <f>ROUNDUP(BedDemand!D14/Assumptions!$C$76,1)</f>
        <v/>
      </c>
      <c r="E13" s="59">
        <f>ROUNDUP(BedDemand!E14/Assumptions!$C$76,1)</f>
        <v/>
      </c>
      <c r="F13" s="59">
        <f>ROUNDUP(BedDemand!F14/Assumptions!$C$76,1)</f>
        <v/>
      </c>
      <c r="G13" s="59">
        <f>ROUNDUP(BedDemand!G14/Assumptions!$C$76,1)</f>
        <v/>
      </c>
      <c r="H13" s="59">
        <f>ROUNDUP(BedDemand!H14/Assumptions!$C$76,1)</f>
        <v/>
      </c>
      <c r="I13" s="59">
        <f>ROUNDUP(BedDemand!I14/Assumptions!$C$76,1)</f>
        <v/>
      </c>
      <c r="J13" s="59">
        <f>ROUNDUP(BedDemand!J14/Assumptions!$C$76,1)</f>
        <v/>
      </c>
      <c r="K13" s="59">
        <f>ROUNDUP(BedDemand!K14/Assumptions!$C$76,1)</f>
        <v/>
      </c>
      <c r="L13" s="59">
        <f>ROUNDUP(BedDemand!L14/Assumptions!$C$76,1)</f>
        <v/>
      </c>
      <c r="M13" s="59">
        <f>ROUNDUP(BedDemand!M14/Assumptions!$C$76,1)</f>
        <v/>
      </c>
      <c r="N13" s="59">
        <f>ROUNDUP(BedDemand!N14/Assumptions!$C$76,1)</f>
        <v/>
      </c>
      <c r="O13" s="59">
        <f>ROUNDUP(BedDemand!O14/Assumptions!$C$76,1)</f>
        <v/>
      </c>
      <c r="P13" s="59">
        <f>ROUNDUP(BedDemand!P14/Assumptions!$C$76,1)</f>
        <v/>
      </c>
      <c r="Q13" s="59">
        <f>ROUNDUP(BedDemand!Q14/Assumptions!$C$76,1)</f>
        <v/>
      </c>
      <c r="R13" s="59">
        <f>ROUNDUP(BedDemand!R14/Assumptions!$C$76,1)</f>
        <v/>
      </c>
      <c r="S13" s="59">
        <f>ROUNDUP(BedDemand!S14/Assumptions!$C$76,1)</f>
        <v/>
      </c>
      <c r="T13" s="59">
        <f>ROUNDUP(BedDemand!T14/Assumptions!$C$76,1)</f>
        <v/>
      </c>
      <c r="U13" s="59">
        <f>ROUNDUP(BedDemand!U14/Assumptions!$C$76,1)</f>
        <v/>
      </c>
      <c r="V13" s="59">
        <f>ROUNDUP(BedDemand!V14/Assumptions!$C$76,1)</f>
        <v/>
      </c>
      <c r="W13" s="59">
        <f>ROUNDUP(BedDemand!W14/Assumptions!$C$76,1)</f>
        <v/>
      </c>
      <c r="X13" s="59">
        <f>ROUNDUP(BedDemand!X14/Assumptions!$C$76,1)</f>
        <v/>
      </c>
      <c r="Y13" s="59">
        <f>ROUNDUP(BedDemand!Y14/Assumptions!$C$76,1)</f>
        <v/>
      </c>
      <c r="Z13" s="59">
        <f>ROUNDUP(BedDemand!Z14/Assumptions!$C$76,1)</f>
        <v/>
      </c>
      <c r="AA13" s="59">
        <f>ROUNDUP(BedDemand!AA14/Assumptions!$C$76,1)</f>
        <v/>
      </c>
      <c r="AB13" s="59">
        <f>ROUNDUP(BedDemand!AB14/Assumptions!$C$76,1)</f>
        <v/>
      </c>
      <c r="AC13" s="59">
        <f>ROUNDUP(BedDemand!AC14/Assumptions!$C$76,1)</f>
        <v/>
      </c>
      <c r="AD13" s="59">
        <f>ROUNDUP(BedDemand!AD14/Assumptions!$C$76,1)</f>
        <v/>
      </c>
      <c r="AE13" s="59">
        <f>ROUNDUP(BedDemand!AE14/Assumptions!$C$76,1)</f>
        <v/>
      </c>
      <c r="AF13" s="59">
        <f>ROUNDUP(BedDemand!AF14/Assumptions!$C$76,1)</f>
        <v/>
      </c>
      <c r="AG13" s="59">
        <f>ROUNDUP(BedDemand!AG14/Assumptions!$C$76,1)</f>
        <v/>
      </c>
      <c r="AH13" s="59">
        <f>ROUNDUP(BedDemand!AH14/Assumptions!$C$76,1)</f>
        <v/>
      </c>
      <c r="AI13" s="59">
        <f>ROUNDUP(BedDemand!AI14/Assumptions!$C$76,1)</f>
        <v/>
      </c>
      <c r="AJ13" s="59">
        <f>ROUNDUP(BedDemand!AJ14/Assumptions!$C$76,1)</f>
        <v/>
      </c>
      <c r="AK13" s="59">
        <f>ROUNDUP(BedDemand!AK14/Assumptions!$C$76,1)</f>
        <v/>
      </c>
      <c r="AL13" s="59">
        <f>ROUNDUP(BedDemand!AL14/Assumptions!$C$76,1)</f>
        <v/>
      </c>
      <c r="AM13" s="59">
        <f>ROUNDUP(BedDemand!AM14/Assumptions!$C$76,1)</f>
        <v/>
      </c>
      <c r="AN13" s="59">
        <f>ROUNDUP(BedDemand!AN14/Assumptions!$C$76,1)</f>
        <v/>
      </c>
      <c r="AP13" s="57" t="inlineStr">
        <is>
          <t>From beds per housekeeping FTE. Cross-check against rooms cleaned per shift on Facilities.</t>
        </is>
      </c>
    </row>
    <row r="14" ht="24" customHeight="1">
      <c r="B14" s="4" t="inlineStr">
        <is>
          <t>Catering</t>
        </is>
      </c>
      <c r="C14" s="59">
        <f>ROUNDUP(Facilities!$C$11/Assumptions!$C$77,1)*IF(BedDemand!C10&gt;0,1,0)</f>
        <v/>
      </c>
      <c r="D14" s="59">
        <f>ROUNDUP(Facilities!$C$11/Assumptions!$C$77,1)*IF(BedDemand!D10&gt;0,1,0)</f>
        <v/>
      </c>
      <c r="E14" s="59">
        <f>ROUNDUP(Facilities!$C$11/Assumptions!$C$77,1)*IF(BedDemand!E10&gt;0,1,0)</f>
        <v/>
      </c>
      <c r="F14" s="59">
        <f>ROUNDUP(Facilities!$C$11/Assumptions!$C$77,1)*IF(BedDemand!F10&gt;0,1,0)</f>
        <v/>
      </c>
      <c r="G14" s="59">
        <f>ROUNDUP(Facilities!$C$11/Assumptions!$C$77,1)*IF(BedDemand!G10&gt;0,1,0)</f>
        <v/>
      </c>
      <c r="H14" s="59">
        <f>ROUNDUP(Facilities!$C$11/Assumptions!$C$77,1)*IF(BedDemand!H10&gt;0,1,0)</f>
        <v/>
      </c>
      <c r="I14" s="59">
        <f>ROUNDUP(Facilities!$C$11/Assumptions!$C$77,1)*IF(BedDemand!I10&gt;0,1,0)</f>
        <v/>
      </c>
      <c r="J14" s="59">
        <f>ROUNDUP(Facilities!$C$11/Assumptions!$C$77,1)*IF(BedDemand!J10&gt;0,1,0)</f>
        <v/>
      </c>
      <c r="K14" s="59">
        <f>ROUNDUP(Facilities!$C$11/Assumptions!$C$77,1)*IF(BedDemand!K10&gt;0,1,0)</f>
        <v/>
      </c>
      <c r="L14" s="59">
        <f>ROUNDUP(Facilities!$C$11/Assumptions!$C$77,1)*IF(BedDemand!L10&gt;0,1,0)</f>
        <v/>
      </c>
      <c r="M14" s="59">
        <f>ROUNDUP(Facilities!$C$11/Assumptions!$C$77,1)*IF(BedDemand!M10&gt;0,1,0)</f>
        <v/>
      </c>
      <c r="N14" s="59">
        <f>ROUNDUP(Facilities!$C$11/Assumptions!$C$77,1)*IF(BedDemand!N10&gt;0,1,0)</f>
        <v/>
      </c>
      <c r="O14" s="59">
        <f>ROUNDUP(Facilities!$C$11/Assumptions!$C$77,1)*IF(BedDemand!O10&gt;0,1,0)</f>
        <v/>
      </c>
      <c r="P14" s="59">
        <f>ROUNDUP(Facilities!$C$11/Assumptions!$C$77,1)*IF(BedDemand!P10&gt;0,1,0)</f>
        <v/>
      </c>
      <c r="Q14" s="59">
        <f>ROUNDUP(Facilities!$C$11/Assumptions!$C$77,1)*IF(BedDemand!Q10&gt;0,1,0)</f>
        <v/>
      </c>
      <c r="R14" s="59">
        <f>ROUNDUP(Facilities!$C$11/Assumptions!$C$77,1)*IF(BedDemand!R10&gt;0,1,0)</f>
        <v/>
      </c>
      <c r="S14" s="59">
        <f>ROUNDUP(Facilities!$C$11/Assumptions!$C$77,1)*IF(BedDemand!S10&gt;0,1,0)</f>
        <v/>
      </c>
      <c r="T14" s="59">
        <f>ROUNDUP(Facilities!$C$11/Assumptions!$C$77,1)*IF(BedDemand!T10&gt;0,1,0)</f>
        <v/>
      </c>
      <c r="U14" s="59">
        <f>ROUNDUP(Facilities!$C$11/Assumptions!$C$77,1)*IF(BedDemand!U10&gt;0,1,0)</f>
        <v/>
      </c>
      <c r="V14" s="59">
        <f>ROUNDUP(Facilities!$C$11/Assumptions!$C$77,1)*IF(BedDemand!V10&gt;0,1,0)</f>
        <v/>
      </c>
      <c r="W14" s="59">
        <f>ROUNDUP(Facilities!$C$11/Assumptions!$C$77,1)*IF(BedDemand!W10&gt;0,1,0)</f>
        <v/>
      </c>
      <c r="X14" s="59">
        <f>ROUNDUP(Facilities!$C$11/Assumptions!$C$77,1)*IF(BedDemand!X10&gt;0,1,0)</f>
        <v/>
      </c>
      <c r="Y14" s="59">
        <f>ROUNDUP(Facilities!$C$11/Assumptions!$C$77,1)*IF(BedDemand!Y10&gt;0,1,0)</f>
        <v/>
      </c>
      <c r="Z14" s="59">
        <f>ROUNDUP(Facilities!$C$11/Assumptions!$C$77,1)*IF(BedDemand!Z10&gt;0,1,0)</f>
        <v/>
      </c>
      <c r="AA14" s="59">
        <f>ROUNDUP(Facilities!$C$11/Assumptions!$C$77,1)*IF(BedDemand!AA10&gt;0,1,0)</f>
        <v/>
      </c>
      <c r="AB14" s="59">
        <f>ROUNDUP(Facilities!$C$11/Assumptions!$C$77,1)*IF(BedDemand!AB10&gt;0,1,0)</f>
        <v/>
      </c>
      <c r="AC14" s="59">
        <f>ROUNDUP(Facilities!$C$11/Assumptions!$C$77,1)*IF(BedDemand!AC10&gt;0,1,0)</f>
        <v/>
      </c>
      <c r="AD14" s="59">
        <f>ROUNDUP(Facilities!$C$11/Assumptions!$C$77,1)*IF(BedDemand!AD10&gt;0,1,0)</f>
        <v/>
      </c>
      <c r="AE14" s="59">
        <f>ROUNDUP(Facilities!$C$11/Assumptions!$C$77,1)*IF(BedDemand!AE10&gt;0,1,0)</f>
        <v/>
      </c>
      <c r="AF14" s="59">
        <f>ROUNDUP(Facilities!$C$11/Assumptions!$C$77,1)*IF(BedDemand!AF10&gt;0,1,0)</f>
        <v/>
      </c>
      <c r="AG14" s="59">
        <f>ROUNDUP(Facilities!$C$11/Assumptions!$C$77,1)*IF(BedDemand!AG10&gt;0,1,0)</f>
        <v/>
      </c>
      <c r="AH14" s="59">
        <f>ROUNDUP(Facilities!$C$11/Assumptions!$C$77,1)*IF(BedDemand!AH10&gt;0,1,0)</f>
        <v/>
      </c>
      <c r="AI14" s="59">
        <f>ROUNDUP(Facilities!$C$11/Assumptions!$C$77,1)*IF(BedDemand!AI10&gt;0,1,0)</f>
        <v/>
      </c>
      <c r="AJ14" s="59">
        <f>ROUNDUP(Facilities!$C$11/Assumptions!$C$77,1)*IF(BedDemand!AJ10&gt;0,1,0)</f>
        <v/>
      </c>
      <c r="AK14" s="59">
        <f>ROUNDUP(Facilities!$C$11/Assumptions!$C$77,1)*IF(BedDemand!AK10&gt;0,1,0)</f>
        <v/>
      </c>
      <c r="AL14" s="59">
        <f>ROUNDUP(Facilities!$C$11/Assumptions!$C$77,1)*IF(BedDemand!AL10&gt;0,1,0)</f>
        <v/>
      </c>
      <c r="AM14" s="59">
        <f>ROUNDUP(Facilities!$C$11/Assumptions!$C$77,1)*IF(BedDemand!AM10&gt;0,1,0)</f>
        <v/>
      </c>
      <c r="AN14" s="59">
        <f>ROUNDUP(Facilities!$C$11/Assumptions!$C$77,1)*IF(BedDemand!AN10&gt;0,1,0)</f>
        <v/>
      </c>
      <c r="AP14" s="57" t="inlineStr">
        <is>
          <t>Chefs, servery, wash-up and stores across the whole meal cycle, sized on the design covers.</t>
        </is>
      </c>
    </row>
    <row r="15">
      <c r="B15" s="4" t="inlineStr">
        <is>
          <t>Maintenance, grounds and waste</t>
        </is>
      </c>
      <c r="C15" s="59">
        <f>ROUND(BedDemand!C10/100*Assumptions!$C$78,1)</f>
        <v/>
      </c>
      <c r="D15" s="59">
        <f>ROUND(BedDemand!D10/100*Assumptions!$C$78,1)</f>
        <v/>
      </c>
      <c r="E15" s="59">
        <f>ROUND(BedDemand!E10/100*Assumptions!$C$78,1)</f>
        <v/>
      </c>
      <c r="F15" s="59">
        <f>ROUND(BedDemand!F10/100*Assumptions!$C$78,1)</f>
        <v/>
      </c>
      <c r="G15" s="59">
        <f>ROUND(BedDemand!G10/100*Assumptions!$C$78,1)</f>
        <v/>
      </c>
      <c r="H15" s="59">
        <f>ROUND(BedDemand!H10/100*Assumptions!$C$78,1)</f>
        <v/>
      </c>
      <c r="I15" s="59">
        <f>ROUND(BedDemand!I10/100*Assumptions!$C$78,1)</f>
        <v/>
      </c>
      <c r="J15" s="59">
        <f>ROUND(BedDemand!J10/100*Assumptions!$C$78,1)</f>
        <v/>
      </c>
      <c r="K15" s="59">
        <f>ROUND(BedDemand!K10/100*Assumptions!$C$78,1)</f>
        <v/>
      </c>
      <c r="L15" s="59">
        <f>ROUND(BedDemand!L10/100*Assumptions!$C$78,1)</f>
        <v/>
      </c>
      <c r="M15" s="59">
        <f>ROUND(BedDemand!M10/100*Assumptions!$C$78,1)</f>
        <v/>
      </c>
      <c r="N15" s="59">
        <f>ROUND(BedDemand!N10/100*Assumptions!$C$78,1)</f>
        <v/>
      </c>
      <c r="O15" s="59">
        <f>ROUND(BedDemand!O10/100*Assumptions!$C$78,1)</f>
        <v/>
      </c>
      <c r="P15" s="59">
        <f>ROUND(BedDemand!P10/100*Assumptions!$C$78,1)</f>
        <v/>
      </c>
      <c r="Q15" s="59">
        <f>ROUND(BedDemand!Q10/100*Assumptions!$C$78,1)</f>
        <v/>
      </c>
      <c r="R15" s="59">
        <f>ROUND(BedDemand!R10/100*Assumptions!$C$78,1)</f>
        <v/>
      </c>
      <c r="S15" s="59">
        <f>ROUND(BedDemand!S10/100*Assumptions!$C$78,1)</f>
        <v/>
      </c>
      <c r="T15" s="59">
        <f>ROUND(BedDemand!T10/100*Assumptions!$C$78,1)</f>
        <v/>
      </c>
      <c r="U15" s="59">
        <f>ROUND(BedDemand!U10/100*Assumptions!$C$78,1)</f>
        <v/>
      </c>
      <c r="V15" s="59">
        <f>ROUND(BedDemand!V10/100*Assumptions!$C$78,1)</f>
        <v/>
      </c>
      <c r="W15" s="59">
        <f>ROUND(BedDemand!W10/100*Assumptions!$C$78,1)</f>
        <v/>
      </c>
      <c r="X15" s="59">
        <f>ROUND(BedDemand!X10/100*Assumptions!$C$78,1)</f>
        <v/>
      </c>
      <c r="Y15" s="59">
        <f>ROUND(BedDemand!Y10/100*Assumptions!$C$78,1)</f>
        <v/>
      </c>
      <c r="Z15" s="59">
        <f>ROUND(BedDemand!Z10/100*Assumptions!$C$78,1)</f>
        <v/>
      </c>
      <c r="AA15" s="59">
        <f>ROUND(BedDemand!AA10/100*Assumptions!$C$78,1)</f>
        <v/>
      </c>
      <c r="AB15" s="59">
        <f>ROUND(BedDemand!AB10/100*Assumptions!$C$78,1)</f>
        <v/>
      </c>
      <c r="AC15" s="59">
        <f>ROUND(BedDemand!AC10/100*Assumptions!$C$78,1)</f>
        <v/>
      </c>
      <c r="AD15" s="59">
        <f>ROUND(BedDemand!AD10/100*Assumptions!$C$78,1)</f>
        <v/>
      </c>
      <c r="AE15" s="59">
        <f>ROUND(BedDemand!AE10/100*Assumptions!$C$78,1)</f>
        <v/>
      </c>
      <c r="AF15" s="59">
        <f>ROUND(BedDemand!AF10/100*Assumptions!$C$78,1)</f>
        <v/>
      </c>
      <c r="AG15" s="59">
        <f>ROUND(BedDemand!AG10/100*Assumptions!$C$78,1)</f>
        <v/>
      </c>
      <c r="AH15" s="59">
        <f>ROUND(BedDemand!AH10/100*Assumptions!$C$78,1)</f>
        <v/>
      </c>
      <c r="AI15" s="59">
        <f>ROUND(BedDemand!AI10/100*Assumptions!$C$78,1)</f>
        <v/>
      </c>
      <c r="AJ15" s="59">
        <f>ROUND(BedDemand!AJ10/100*Assumptions!$C$78,1)</f>
        <v/>
      </c>
      <c r="AK15" s="59">
        <f>ROUND(BedDemand!AK10/100*Assumptions!$C$78,1)</f>
        <v/>
      </c>
      <c r="AL15" s="59">
        <f>ROUND(BedDemand!AL10/100*Assumptions!$C$78,1)</f>
        <v/>
      </c>
      <c r="AM15" s="59">
        <f>ROUND(BedDemand!AM10/100*Assumptions!$C$78,1)</f>
        <v/>
      </c>
      <c r="AN15" s="59">
        <f>ROUND(BedDemand!AN10/100*Assumptions!$C$78,1)</f>
        <v/>
      </c>
      <c r="AP15" s="57" t="inlineStr">
        <is>
          <t>Reactive and planned. A 38-month village wears out.</t>
        </is>
      </c>
    </row>
    <row r="16" ht="24" customHeight="1">
      <c r="B16" s="4" t="inlineStr">
        <is>
          <t>Administration and welfare</t>
        </is>
      </c>
      <c r="C16" s="59">
        <f>IF(BedDemand!C10&gt;0,Assumptions!$C$80,0)</f>
        <v/>
      </c>
      <c r="D16" s="59">
        <f>IF(BedDemand!D10&gt;0,Assumptions!$C$80,0)</f>
        <v/>
      </c>
      <c r="E16" s="59">
        <f>IF(BedDemand!E10&gt;0,Assumptions!$C$80,0)</f>
        <v/>
      </c>
      <c r="F16" s="59">
        <f>IF(BedDemand!F10&gt;0,Assumptions!$C$80,0)</f>
        <v/>
      </c>
      <c r="G16" s="59">
        <f>IF(BedDemand!G10&gt;0,Assumptions!$C$80,0)</f>
        <v/>
      </c>
      <c r="H16" s="59">
        <f>IF(BedDemand!H10&gt;0,Assumptions!$C$80,0)</f>
        <v/>
      </c>
      <c r="I16" s="59">
        <f>IF(BedDemand!I10&gt;0,Assumptions!$C$80,0)</f>
        <v/>
      </c>
      <c r="J16" s="59">
        <f>IF(BedDemand!J10&gt;0,Assumptions!$C$80,0)</f>
        <v/>
      </c>
      <c r="K16" s="59">
        <f>IF(BedDemand!K10&gt;0,Assumptions!$C$80,0)</f>
        <v/>
      </c>
      <c r="L16" s="59">
        <f>IF(BedDemand!L10&gt;0,Assumptions!$C$80,0)</f>
        <v/>
      </c>
      <c r="M16" s="59">
        <f>IF(BedDemand!M10&gt;0,Assumptions!$C$80,0)</f>
        <v/>
      </c>
      <c r="N16" s="59">
        <f>IF(BedDemand!N10&gt;0,Assumptions!$C$80,0)</f>
        <v/>
      </c>
      <c r="O16" s="59">
        <f>IF(BedDemand!O10&gt;0,Assumptions!$C$80,0)</f>
        <v/>
      </c>
      <c r="P16" s="59">
        <f>IF(BedDemand!P10&gt;0,Assumptions!$C$80,0)</f>
        <v/>
      </c>
      <c r="Q16" s="59">
        <f>IF(BedDemand!Q10&gt;0,Assumptions!$C$80,0)</f>
        <v/>
      </c>
      <c r="R16" s="59">
        <f>IF(BedDemand!R10&gt;0,Assumptions!$C$80,0)</f>
        <v/>
      </c>
      <c r="S16" s="59">
        <f>IF(BedDemand!S10&gt;0,Assumptions!$C$80,0)</f>
        <v/>
      </c>
      <c r="T16" s="59">
        <f>IF(BedDemand!T10&gt;0,Assumptions!$C$80,0)</f>
        <v/>
      </c>
      <c r="U16" s="59">
        <f>IF(BedDemand!U10&gt;0,Assumptions!$C$80,0)</f>
        <v/>
      </c>
      <c r="V16" s="59">
        <f>IF(BedDemand!V10&gt;0,Assumptions!$C$80,0)</f>
        <v/>
      </c>
      <c r="W16" s="59">
        <f>IF(BedDemand!W10&gt;0,Assumptions!$C$80,0)</f>
        <v/>
      </c>
      <c r="X16" s="59">
        <f>IF(BedDemand!X10&gt;0,Assumptions!$C$80,0)</f>
        <v/>
      </c>
      <c r="Y16" s="59">
        <f>IF(BedDemand!Y10&gt;0,Assumptions!$C$80,0)</f>
        <v/>
      </c>
      <c r="Z16" s="59">
        <f>IF(BedDemand!Z10&gt;0,Assumptions!$C$80,0)</f>
        <v/>
      </c>
      <c r="AA16" s="59">
        <f>IF(BedDemand!AA10&gt;0,Assumptions!$C$80,0)</f>
        <v/>
      </c>
      <c r="AB16" s="59">
        <f>IF(BedDemand!AB10&gt;0,Assumptions!$C$80,0)</f>
        <v/>
      </c>
      <c r="AC16" s="59">
        <f>IF(BedDemand!AC10&gt;0,Assumptions!$C$80,0)</f>
        <v/>
      </c>
      <c r="AD16" s="59">
        <f>IF(BedDemand!AD10&gt;0,Assumptions!$C$80,0)</f>
        <v/>
      </c>
      <c r="AE16" s="59">
        <f>IF(BedDemand!AE10&gt;0,Assumptions!$C$80,0)</f>
        <v/>
      </c>
      <c r="AF16" s="59">
        <f>IF(BedDemand!AF10&gt;0,Assumptions!$C$80,0)</f>
        <v/>
      </c>
      <c r="AG16" s="59">
        <f>IF(BedDemand!AG10&gt;0,Assumptions!$C$80,0)</f>
        <v/>
      </c>
      <c r="AH16" s="59">
        <f>IF(BedDemand!AH10&gt;0,Assumptions!$C$80,0)</f>
        <v/>
      </c>
      <c r="AI16" s="59">
        <f>IF(BedDemand!AI10&gt;0,Assumptions!$C$80,0)</f>
        <v/>
      </c>
      <c r="AJ16" s="59">
        <f>IF(BedDemand!AJ10&gt;0,Assumptions!$C$80,0)</f>
        <v/>
      </c>
      <c r="AK16" s="59">
        <f>IF(BedDemand!AK10&gt;0,Assumptions!$C$80,0)</f>
        <v/>
      </c>
      <c r="AL16" s="59">
        <f>IF(BedDemand!AL10&gt;0,Assumptions!$C$80,0)</f>
        <v/>
      </c>
      <c r="AM16" s="59">
        <f>IF(BedDemand!AM10&gt;0,Assumptions!$C$80,0)</f>
        <v/>
      </c>
      <c r="AN16" s="59">
        <f>IF(BedDemand!AN10&gt;0,Assumptions!$C$80,0)</f>
        <v/>
      </c>
      <c r="AP16" s="57" t="inlineStr">
        <is>
          <t>Bookings, inductions, pastoral support and complaints. The last of those is why villages succeed or fail.</t>
        </is>
      </c>
    </row>
    <row r="17" ht="24" customHeight="1">
      <c r="B17" s="4" t="inlineStr">
        <is>
          <t>Transport drivers</t>
        </is>
      </c>
      <c r="C17" s="59">
        <f>ROUNDUP(Transport!C11*2.2,1)</f>
        <v/>
      </c>
      <c r="D17" s="59">
        <f>ROUNDUP(Transport!D11*2.2,1)</f>
        <v/>
      </c>
      <c r="E17" s="59">
        <f>ROUNDUP(Transport!E11*2.2,1)</f>
        <v/>
      </c>
      <c r="F17" s="59">
        <f>ROUNDUP(Transport!F11*2.2,1)</f>
        <v/>
      </c>
      <c r="G17" s="59">
        <f>ROUNDUP(Transport!G11*2.2,1)</f>
        <v/>
      </c>
      <c r="H17" s="59">
        <f>ROUNDUP(Transport!H11*2.2,1)</f>
        <v/>
      </c>
      <c r="I17" s="59">
        <f>ROUNDUP(Transport!I11*2.2,1)</f>
        <v/>
      </c>
      <c r="J17" s="59">
        <f>ROUNDUP(Transport!J11*2.2,1)</f>
        <v/>
      </c>
      <c r="K17" s="59">
        <f>ROUNDUP(Transport!K11*2.2,1)</f>
        <v/>
      </c>
      <c r="L17" s="59">
        <f>ROUNDUP(Transport!L11*2.2,1)</f>
        <v/>
      </c>
      <c r="M17" s="59">
        <f>ROUNDUP(Transport!M11*2.2,1)</f>
        <v/>
      </c>
      <c r="N17" s="59">
        <f>ROUNDUP(Transport!N11*2.2,1)</f>
        <v/>
      </c>
      <c r="O17" s="59">
        <f>ROUNDUP(Transport!O11*2.2,1)</f>
        <v/>
      </c>
      <c r="P17" s="59">
        <f>ROUNDUP(Transport!P11*2.2,1)</f>
        <v/>
      </c>
      <c r="Q17" s="59">
        <f>ROUNDUP(Transport!Q11*2.2,1)</f>
        <v/>
      </c>
      <c r="R17" s="59">
        <f>ROUNDUP(Transport!R11*2.2,1)</f>
        <v/>
      </c>
      <c r="S17" s="59">
        <f>ROUNDUP(Transport!S11*2.2,1)</f>
        <v/>
      </c>
      <c r="T17" s="59">
        <f>ROUNDUP(Transport!T11*2.2,1)</f>
        <v/>
      </c>
      <c r="U17" s="59">
        <f>ROUNDUP(Transport!U11*2.2,1)</f>
        <v/>
      </c>
      <c r="V17" s="59">
        <f>ROUNDUP(Transport!V11*2.2,1)</f>
        <v/>
      </c>
      <c r="W17" s="59">
        <f>ROUNDUP(Transport!W11*2.2,1)</f>
        <v/>
      </c>
      <c r="X17" s="59">
        <f>ROUNDUP(Transport!X11*2.2,1)</f>
        <v/>
      </c>
      <c r="Y17" s="59">
        <f>ROUNDUP(Transport!Y11*2.2,1)</f>
        <v/>
      </c>
      <c r="Z17" s="59">
        <f>ROUNDUP(Transport!Z11*2.2,1)</f>
        <v/>
      </c>
      <c r="AA17" s="59">
        <f>ROUNDUP(Transport!AA11*2.2,1)</f>
        <v/>
      </c>
      <c r="AB17" s="59">
        <f>ROUNDUP(Transport!AB11*2.2,1)</f>
        <v/>
      </c>
      <c r="AC17" s="59">
        <f>ROUNDUP(Transport!AC11*2.2,1)</f>
        <v/>
      </c>
      <c r="AD17" s="59">
        <f>ROUNDUP(Transport!AD11*2.2,1)</f>
        <v/>
      </c>
      <c r="AE17" s="59">
        <f>ROUNDUP(Transport!AE11*2.2,1)</f>
        <v/>
      </c>
      <c r="AF17" s="59">
        <f>ROUNDUP(Transport!AF11*2.2,1)</f>
        <v/>
      </c>
      <c r="AG17" s="59">
        <f>ROUNDUP(Transport!AG11*2.2,1)</f>
        <v/>
      </c>
      <c r="AH17" s="59">
        <f>ROUNDUP(Transport!AH11*2.2,1)</f>
        <v/>
      </c>
      <c r="AI17" s="59">
        <f>ROUNDUP(Transport!AI11*2.2,1)</f>
        <v/>
      </c>
      <c r="AJ17" s="59">
        <f>ROUNDUP(Transport!AJ11*2.2,1)</f>
        <v/>
      </c>
      <c r="AK17" s="59">
        <f>ROUNDUP(Transport!AK11*2.2,1)</f>
        <v/>
      </c>
      <c r="AL17" s="59">
        <f>ROUNDUP(Transport!AL11*2.2,1)</f>
        <v/>
      </c>
      <c r="AM17" s="59">
        <f>ROUNDUP(Transport!AM11*2.2,1)</f>
        <v/>
      </c>
      <c r="AN17" s="59">
        <f>ROUNDUP(Transport!AN11*2.2,1)</f>
        <v/>
      </c>
      <c r="AP17" s="57" t="inlineStr">
        <is>
          <t>Drivers per bus across the shift pattern, including cover. To verify against drivers' hours rules.</t>
        </is>
      </c>
    </row>
    <row r="19">
      <c r="B19" s="6" t="inlineStr">
        <is>
          <t>TOTAL VILLAGE FTE</t>
        </is>
      </c>
      <c r="C19" s="65">
        <f>SUM(C10:C17)</f>
        <v/>
      </c>
      <c r="D19" s="65">
        <f>SUM(D10:D17)</f>
        <v/>
      </c>
      <c r="E19" s="65">
        <f>SUM(E10:E17)</f>
        <v/>
      </c>
      <c r="F19" s="65">
        <f>SUM(F10:F17)</f>
        <v/>
      </c>
      <c r="G19" s="65">
        <f>SUM(G10:G17)</f>
        <v/>
      </c>
      <c r="H19" s="65">
        <f>SUM(H10:H17)</f>
        <v/>
      </c>
      <c r="I19" s="65">
        <f>SUM(I10:I17)</f>
        <v/>
      </c>
      <c r="J19" s="65">
        <f>SUM(J10:J17)</f>
        <v/>
      </c>
      <c r="K19" s="65">
        <f>SUM(K10:K17)</f>
        <v/>
      </c>
      <c r="L19" s="65">
        <f>SUM(L10:L17)</f>
        <v/>
      </c>
      <c r="M19" s="65">
        <f>SUM(M10:M17)</f>
        <v/>
      </c>
      <c r="N19" s="65">
        <f>SUM(N10:N17)</f>
        <v/>
      </c>
      <c r="O19" s="65">
        <f>SUM(O10:O17)</f>
        <v/>
      </c>
      <c r="P19" s="65">
        <f>SUM(P10:P17)</f>
        <v/>
      </c>
      <c r="Q19" s="65">
        <f>SUM(Q10:Q17)</f>
        <v/>
      </c>
      <c r="R19" s="65">
        <f>SUM(R10:R17)</f>
        <v/>
      </c>
      <c r="S19" s="65">
        <f>SUM(S10:S17)</f>
        <v/>
      </c>
      <c r="T19" s="65">
        <f>SUM(T10:T17)</f>
        <v/>
      </c>
      <c r="U19" s="65">
        <f>SUM(U10:U17)</f>
        <v/>
      </c>
      <c r="V19" s="65">
        <f>SUM(V10:V17)</f>
        <v/>
      </c>
      <c r="W19" s="65">
        <f>SUM(W10:W17)</f>
        <v/>
      </c>
      <c r="X19" s="65">
        <f>SUM(X10:X17)</f>
        <v/>
      </c>
      <c r="Y19" s="65">
        <f>SUM(Y10:Y17)</f>
        <v/>
      </c>
      <c r="Z19" s="65">
        <f>SUM(Z10:Z17)</f>
        <v/>
      </c>
      <c r="AA19" s="65">
        <f>SUM(AA10:AA17)</f>
        <v/>
      </c>
      <c r="AB19" s="65">
        <f>SUM(AB10:AB17)</f>
        <v/>
      </c>
      <c r="AC19" s="65">
        <f>SUM(AC10:AC17)</f>
        <v/>
      </c>
      <c r="AD19" s="65">
        <f>SUM(AD10:AD17)</f>
        <v/>
      </c>
      <c r="AE19" s="65">
        <f>SUM(AE10:AE17)</f>
        <v/>
      </c>
      <c r="AF19" s="65">
        <f>SUM(AF10:AF17)</f>
        <v/>
      </c>
      <c r="AG19" s="65">
        <f>SUM(AG10:AG17)</f>
        <v/>
      </c>
      <c r="AH19" s="65">
        <f>SUM(AH10:AH17)</f>
        <v/>
      </c>
      <c r="AI19" s="65">
        <f>SUM(AI10:AI17)</f>
        <v/>
      </c>
      <c r="AJ19" s="65">
        <f>SUM(AJ10:AJ17)</f>
        <v/>
      </c>
      <c r="AK19" s="65">
        <f>SUM(AK10:AK17)</f>
        <v/>
      </c>
      <c r="AL19" s="65">
        <f>SUM(AL10:AL17)</f>
        <v/>
      </c>
      <c r="AM19" s="65">
        <f>SUM(AM10:AM17)</f>
        <v/>
      </c>
      <c r="AN19" s="65">
        <f>SUM(AN10:AN17)</f>
        <v/>
      </c>
    </row>
    <row r="20" ht="34" customHeight="1">
      <c r="B20" s="4" t="inlineStr">
        <is>
          <t>Residents per village FTE</t>
        </is>
      </c>
      <c r="C20" s="59">
        <f>IFERROR(C7/C19,0)</f>
        <v/>
      </c>
      <c r="D20" s="59">
        <f>IFERROR(D7/D19,0)</f>
        <v/>
      </c>
      <c r="E20" s="59">
        <f>IFERROR(E7/E19,0)</f>
        <v/>
      </c>
      <c r="F20" s="59">
        <f>IFERROR(F7/F19,0)</f>
        <v/>
      </c>
      <c r="G20" s="59">
        <f>IFERROR(G7/G19,0)</f>
        <v/>
      </c>
      <c r="H20" s="59">
        <f>IFERROR(H7/H19,0)</f>
        <v/>
      </c>
      <c r="I20" s="59">
        <f>IFERROR(I7/I19,0)</f>
        <v/>
      </c>
      <c r="J20" s="59">
        <f>IFERROR(J7/J19,0)</f>
        <v/>
      </c>
      <c r="K20" s="59">
        <f>IFERROR(K7/K19,0)</f>
        <v/>
      </c>
      <c r="L20" s="59">
        <f>IFERROR(L7/L19,0)</f>
        <v/>
      </c>
      <c r="M20" s="59">
        <f>IFERROR(M7/M19,0)</f>
        <v/>
      </c>
      <c r="N20" s="59">
        <f>IFERROR(N7/N19,0)</f>
        <v/>
      </c>
      <c r="O20" s="59">
        <f>IFERROR(O7/O19,0)</f>
        <v/>
      </c>
      <c r="P20" s="59">
        <f>IFERROR(P7/P19,0)</f>
        <v/>
      </c>
      <c r="Q20" s="59">
        <f>IFERROR(Q7/Q19,0)</f>
        <v/>
      </c>
      <c r="R20" s="59">
        <f>IFERROR(R7/R19,0)</f>
        <v/>
      </c>
      <c r="S20" s="59">
        <f>IFERROR(S7/S19,0)</f>
        <v/>
      </c>
      <c r="T20" s="59">
        <f>IFERROR(T7/T19,0)</f>
        <v/>
      </c>
      <c r="U20" s="59">
        <f>IFERROR(U7/U19,0)</f>
        <v/>
      </c>
      <c r="V20" s="59">
        <f>IFERROR(V7/V19,0)</f>
        <v/>
      </c>
      <c r="W20" s="59">
        <f>IFERROR(W7/W19,0)</f>
        <v/>
      </c>
      <c r="X20" s="59">
        <f>IFERROR(X7/X19,0)</f>
        <v/>
      </c>
      <c r="Y20" s="59">
        <f>IFERROR(Y7/Y19,0)</f>
        <v/>
      </c>
      <c r="Z20" s="59">
        <f>IFERROR(Z7/Z19,0)</f>
        <v/>
      </c>
      <c r="AA20" s="59">
        <f>IFERROR(AA7/AA19,0)</f>
        <v/>
      </c>
      <c r="AB20" s="59">
        <f>IFERROR(AB7/AB19,0)</f>
        <v/>
      </c>
      <c r="AC20" s="59">
        <f>IFERROR(AC7/AC19,0)</f>
        <v/>
      </c>
      <c r="AD20" s="59">
        <f>IFERROR(AD7/AD19,0)</f>
        <v/>
      </c>
      <c r="AE20" s="59">
        <f>IFERROR(AE7/AE19,0)</f>
        <v/>
      </c>
      <c r="AF20" s="59">
        <f>IFERROR(AF7/AF19,0)</f>
        <v/>
      </c>
      <c r="AG20" s="59">
        <f>IFERROR(AG7/AG19,0)</f>
        <v/>
      </c>
      <c r="AH20" s="59">
        <f>IFERROR(AH7/AH19,0)</f>
        <v/>
      </c>
      <c r="AI20" s="59">
        <f>IFERROR(AI7/AI19,0)</f>
        <v/>
      </c>
      <c r="AJ20" s="59">
        <f>IFERROR(AJ7/AJ19,0)</f>
        <v/>
      </c>
      <c r="AK20" s="59">
        <f>IFERROR(AK7/AK19,0)</f>
        <v/>
      </c>
      <c r="AL20" s="59">
        <f>IFERROR(AL7/AL19,0)</f>
        <v/>
      </c>
      <c r="AM20" s="59">
        <f>IFERROR(AM7/AM19,0)</f>
        <v/>
      </c>
      <c r="AN20" s="59">
        <f>IFERROR(AN7/AN19,0)</f>
        <v/>
      </c>
      <c r="AP20" s="57" t="inlineStr">
        <is>
          <t>A full-service village with 24/7 security and its own bus fleet runs richer than a hotel: expect 5–8 residents per FTE. Security (posts × 4.6) and drivers dominate, so if this number looks heavy, test those two inputs before anything else — one security post instead of two is 4.6 FTE.</t>
        </is>
      </c>
    </row>
    <row r="22">
      <c r="B22" s="39" t="inlineStr">
        <is>
          <t>PEAK — WHAT YOU DESIGN AND PROCURE AGAINST</t>
        </is>
      </c>
      <c r="C22" s="40" t="n"/>
      <c r="D22" s="40" t="n"/>
      <c r="E22" s="40" t="n"/>
      <c r="F22" s="40" t="n"/>
      <c r="G22" s="40" t="n"/>
      <c r="H22" s="40" t="n"/>
      <c r="I22" s="40" t="n"/>
    </row>
    <row r="23">
      <c r="B23" s="4" t="inlineStr">
        <is>
          <t>Peak village FTE</t>
        </is>
      </c>
      <c r="C23" s="61">
        <f>MAX(C19:AN19)</f>
        <v/>
      </c>
      <c r="E23" s="3" t="inlineStr">
        <is>
          <t>The team to recruit, induct and house — they need beds too, and they are in the Teams list.</t>
        </is>
      </c>
    </row>
    <row r="24">
      <c r="B24" s="4" t="inlineStr">
        <is>
          <t>Peak housekeeping FTE</t>
        </is>
      </c>
      <c r="C24" s="61">
        <f>MAX(C13:AN13)</f>
        <v/>
      </c>
      <c r="E24" s="3" t="inlineStr"/>
    </row>
    <row r="25">
      <c r="B25" s="4" t="inlineStr">
        <is>
          <t>Peak catering FTE</t>
        </is>
      </c>
      <c r="C25" s="61">
        <f>MAX(C14:AN14)</f>
        <v/>
      </c>
      <c r="E25" s="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AQ17"/>
  <sheetViews>
    <sheetView showGridLines="0" workbookViewId="0">
      <selection activeCell="A1" sqref="A1"/>
    </sheetView>
  </sheetViews>
  <sheetFormatPr baseColWidth="8" defaultRowHeight="15"/>
  <cols>
    <col width="4" customWidth="1" min="1" max="1"/>
    <col width="40" customWidth="1" min="2" max="2"/>
    <col width="9" customWidth="1" min="3" max="3"/>
    <col width="9" customWidth="1" min="4" max="4"/>
    <col width="9"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s>
  <sheetData>
    <row r="2">
      <c r="B2" s="1" t="inlineStr">
        <is>
          <t>CREATING THE VILLAGE — WORKED BACKWARDS FROM THE FIRST ARRIVAL</t>
        </is>
      </c>
    </row>
    <row r="3">
      <c r="B3" s="3" t="inlineStr">
        <is>
          <t>The only date that matters is the month the first travelling worker arrives. Everything else is worked backwards from it. If the bar runs off the left of the chart, the village is already late.</t>
        </is>
      </c>
    </row>
    <row r="5">
      <c r="A5" s="12" t="inlineStr"/>
      <c r="B5" s="12" t="inlineStr">
        <is>
          <t>Stage</t>
        </is>
      </c>
      <c r="C5" s="12" t="inlineStr">
        <is>
          <t>Months</t>
        </is>
      </c>
      <c r="D5" s="12" t="inlineStr">
        <is>
          <t>Start</t>
        </is>
      </c>
      <c r="E5" s="12" t="inlineStr">
        <is>
          <t>Finish</t>
        </is>
      </c>
      <c r="F5" s="66" t="n">
        <v>1</v>
      </c>
      <c r="G5" s="66" t="n">
        <v>2</v>
      </c>
      <c r="H5" s="66" t="n">
        <v>3</v>
      </c>
      <c r="I5" s="66" t="n">
        <v>4</v>
      </c>
      <c r="J5" s="66" t="n">
        <v>5</v>
      </c>
      <c r="K5" s="66" t="n">
        <v>6</v>
      </c>
      <c r="L5" s="66" t="n">
        <v>7</v>
      </c>
      <c r="M5" s="66" t="n">
        <v>8</v>
      </c>
      <c r="N5" s="66" t="n">
        <v>9</v>
      </c>
      <c r="O5" s="66" t="n">
        <v>10</v>
      </c>
      <c r="P5" s="66" t="n">
        <v>11</v>
      </c>
      <c r="Q5" s="66" t="n">
        <v>12</v>
      </c>
      <c r="R5" s="66" t="n">
        <v>13</v>
      </c>
      <c r="S5" s="66" t="n">
        <v>14</v>
      </c>
      <c r="T5" s="66" t="n">
        <v>15</v>
      </c>
      <c r="U5" s="66" t="n">
        <v>16</v>
      </c>
      <c r="V5" s="66" t="n">
        <v>17</v>
      </c>
      <c r="W5" s="66" t="n">
        <v>18</v>
      </c>
      <c r="X5" s="66" t="n">
        <v>19</v>
      </c>
      <c r="Y5" s="66" t="n">
        <v>20</v>
      </c>
      <c r="Z5" s="66" t="n">
        <v>21</v>
      </c>
      <c r="AA5" s="66" t="n">
        <v>22</v>
      </c>
      <c r="AB5" s="66" t="n">
        <v>23</v>
      </c>
      <c r="AC5" s="66" t="n">
        <v>24</v>
      </c>
      <c r="AD5" s="66" t="n">
        <v>25</v>
      </c>
      <c r="AE5" s="66" t="n">
        <v>26</v>
      </c>
      <c r="AF5" s="66" t="n">
        <v>27</v>
      </c>
      <c r="AG5" s="66" t="n">
        <v>28</v>
      </c>
      <c r="AH5" s="66" t="n">
        <v>29</v>
      </c>
      <c r="AI5" s="66" t="n">
        <v>30</v>
      </c>
      <c r="AJ5" s="66" t="n">
        <v>31</v>
      </c>
      <c r="AK5" s="66" t="n">
        <v>32</v>
      </c>
      <c r="AL5" s="66" t="n">
        <v>33</v>
      </c>
      <c r="AM5" s="66" t="n">
        <v>34</v>
      </c>
      <c r="AN5" s="66" t="n">
        <v>35</v>
      </c>
      <c r="AO5" s="66" t="n">
        <v>36</v>
      </c>
      <c r="AP5" s="66" t="n">
        <v>37</v>
      </c>
      <c r="AQ5" s="66" t="n">
        <v>38</v>
      </c>
    </row>
    <row r="6">
      <c r="B6" s="4" t="inlineStr">
        <is>
          <t>Design, planning and consents</t>
        </is>
      </c>
      <c r="C6" s="33">
        <f>Assumptions!$C$100</f>
        <v/>
      </c>
      <c r="D6" s="4">
        <f>E6-C6+1</f>
        <v/>
      </c>
      <c r="E6" s="4">
        <f>Assumptions!$C$105-1</f>
        <v/>
      </c>
      <c r="F6" s="67">
        <f>IF(AND(6-5&gt;=$D6,6-5&lt;=$E6),"█","")</f>
        <v/>
      </c>
      <c r="G6" s="67">
        <f>IF(AND(7-5&gt;=$D6,7-5&lt;=$E6),"█","")</f>
        <v/>
      </c>
      <c r="H6" s="67">
        <f>IF(AND(8-5&gt;=$D6,8-5&lt;=$E6),"█","")</f>
        <v/>
      </c>
      <c r="I6" s="67">
        <f>IF(AND(9-5&gt;=$D6,9-5&lt;=$E6),"█","")</f>
        <v/>
      </c>
      <c r="J6" s="67">
        <f>IF(AND(10-5&gt;=$D6,10-5&lt;=$E6),"█","")</f>
        <v/>
      </c>
      <c r="K6" s="67">
        <f>IF(AND(11-5&gt;=$D6,11-5&lt;=$E6),"█","")</f>
        <v/>
      </c>
      <c r="L6" s="67">
        <f>IF(AND(12-5&gt;=$D6,12-5&lt;=$E6),"█","")</f>
        <v/>
      </c>
      <c r="M6" s="67">
        <f>IF(AND(13-5&gt;=$D6,13-5&lt;=$E6),"█","")</f>
        <v/>
      </c>
      <c r="N6" s="67">
        <f>IF(AND(14-5&gt;=$D6,14-5&lt;=$E6),"█","")</f>
        <v/>
      </c>
      <c r="O6" s="67">
        <f>IF(AND(15-5&gt;=$D6,15-5&lt;=$E6),"█","")</f>
        <v/>
      </c>
      <c r="P6" s="67">
        <f>IF(AND(16-5&gt;=$D6,16-5&lt;=$E6),"█","")</f>
        <v/>
      </c>
      <c r="Q6" s="67">
        <f>IF(AND(17-5&gt;=$D6,17-5&lt;=$E6),"█","")</f>
        <v/>
      </c>
      <c r="R6" s="67">
        <f>IF(AND(18-5&gt;=$D6,18-5&lt;=$E6),"█","")</f>
        <v/>
      </c>
      <c r="S6" s="67">
        <f>IF(AND(19-5&gt;=$D6,19-5&lt;=$E6),"█","")</f>
        <v/>
      </c>
      <c r="T6" s="67">
        <f>IF(AND(20-5&gt;=$D6,20-5&lt;=$E6),"█","")</f>
        <v/>
      </c>
      <c r="U6" s="67">
        <f>IF(AND(21-5&gt;=$D6,21-5&lt;=$E6),"█","")</f>
        <v/>
      </c>
      <c r="V6" s="67">
        <f>IF(AND(22-5&gt;=$D6,22-5&lt;=$E6),"█","")</f>
        <v/>
      </c>
      <c r="W6" s="67">
        <f>IF(AND(23-5&gt;=$D6,23-5&lt;=$E6),"█","")</f>
        <v/>
      </c>
      <c r="X6" s="67">
        <f>IF(AND(24-5&gt;=$D6,24-5&lt;=$E6),"█","")</f>
        <v/>
      </c>
      <c r="Y6" s="67">
        <f>IF(AND(25-5&gt;=$D6,25-5&lt;=$E6),"█","")</f>
        <v/>
      </c>
      <c r="Z6" s="67">
        <f>IF(AND(26-5&gt;=$D6,26-5&lt;=$E6),"█","")</f>
        <v/>
      </c>
      <c r="AA6" s="67">
        <f>IF(AND(27-5&gt;=$D6,27-5&lt;=$E6),"█","")</f>
        <v/>
      </c>
      <c r="AB6" s="67">
        <f>IF(AND(28-5&gt;=$D6,28-5&lt;=$E6),"█","")</f>
        <v/>
      </c>
      <c r="AC6" s="67">
        <f>IF(AND(29-5&gt;=$D6,29-5&lt;=$E6),"█","")</f>
        <v/>
      </c>
      <c r="AD6" s="67">
        <f>IF(AND(30-5&gt;=$D6,30-5&lt;=$E6),"█","")</f>
        <v/>
      </c>
      <c r="AE6" s="67">
        <f>IF(AND(31-5&gt;=$D6,31-5&lt;=$E6),"█","")</f>
        <v/>
      </c>
      <c r="AF6" s="67">
        <f>IF(AND(32-5&gt;=$D6,32-5&lt;=$E6),"█","")</f>
        <v/>
      </c>
      <c r="AG6" s="67">
        <f>IF(AND(33-5&gt;=$D6,33-5&lt;=$E6),"█","")</f>
        <v/>
      </c>
      <c r="AH6" s="67">
        <f>IF(AND(34-5&gt;=$D6,34-5&lt;=$E6),"█","")</f>
        <v/>
      </c>
      <c r="AI6" s="67">
        <f>IF(AND(35-5&gt;=$D6,35-5&lt;=$E6),"█","")</f>
        <v/>
      </c>
      <c r="AJ6" s="67">
        <f>IF(AND(36-5&gt;=$D6,36-5&lt;=$E6),"█","")</f>
        <v/>
      </c>
      <c r="AK6" s="67">
        <f>IF(AND(37-5&gt;=$D6,37-5&lt;=$E6),"█","")</f>
        <v/>
      </c>
      <c r="AL6" s="67">
        <f>IF(AND(38-5&gt;=$D6,38-5&lt;=$E6),"█","")</f>
        <v/>
      </c>
      <c r="AM6" s="67">
        <f>IF(AND(39-5&gt;=$D6,39-5&lt;=$E6),"█","")</f>
        <v/>
      </c>
      <c r="AN6" s="67">
        <f>IF(AND(40-5&gt;=$D6,40-5&lt;=$E6),"█","")</f>
        <v/>
      </c>
      <c r="AO6" s="67">
        <f>IF(AND(41-5&gt;=$D6,41-5&lt;=$E6),"█","")</f>
        <v/>
      </c>
      <c r="AP6" s="67">
        <f>IF(AND(42-5&gt;=$D6,42-5&lt;=$E6),"█","")</f>
        <v/>
      </c>
      <c r="AQ6" s="67">
        <f>IF(AND(43-5&gt;=$D6,43-5&lt;=$E6),"█","")</f>
        <v/>
      </c>
    </row>
    <row r="7">
      <c r="B7" s="4" t="inlineStr">
        <is>
          <t>Procurement and module lead time</t>
        </is>
      </c>
      <c r="C7" s="33">
        <f>Assumptions!$C$101</f>
        <v/>
      </c>
      <c r="D7" s="4">
        <f>E7-C7+1</f>
        <v/>
      </c>
      <c r="E7" s="4">
        <f>D6-1</f>
        <v/>
      </c>
      <c r="F7" s="67">
        <f>IF(AND(6-5&gt;=$D7,6-5&lt;=$E7),"█","")</f>
        <v/>
      </c>
      <c r="G7" s="67">
        <f>IF(AND(7-5&gt;=$D7,7-5&lt;=$E7),"█","")</f>
        <v/>
      </c>
      <c r="H7" s="67">
        <f>IF(AND(8-5&gt;=$D7,8-5&lt;=$E7),"█","")</f>
        <v/>
      </c>
      <c r="I7" s="67">
        <f>IF(AND(9-5&gt;=$D7,9-5&lt;=$E7),"█","")</f>
        <v/>
      </c>
      <c r="J7" s="67">
        <f>IF(AND(10-5&gt;=$D7,10-5&lt;=$E7),"█","")</f>
        <v/>
      </c>
      <c r="K7" s="67">
        <f>IF(AND(11-5&gt;=$D7,11-5&lt;=$E7),"█","")</f>
        <v/>
      </c>
      <c r="L7" s="67">
        <f>IF(AND(12-5&gt;=$D7,12-5&lt;=$E7),"█","")</f>
        <v/>
      </c>
      <c r="M7" s="67">
        <f>IF(AND(13-5&gt;=$D7,13-5&lt;=$E7),"█","")</f>
        <v/>
      </c>
      <c r="N7" s="67">
        <f>IF(AND(14-5&gt;=$D7,14-5&lt;=$E7),"█","")</f>
        <v/>
      </c>
      <c r="O7" s="67">
        <f>IF(AND(15-5&gt;=$D7,15-5&lt;=$E7),"█","")</f>
        <v/>
      </c>
      <c r="P7" s="67">
        <f>IF(AND(16-5&gt;=$D7,16-5&lt;=$E7),"█","")</f>
        <v/>
      </c>
      <c r="Q7" s="67">
        <f>IF(AND(17-5&gt;=$D7,17-5&lt;=$E7),"█","")</f>
        <v/>
      </c>
      <c r="R7" s="67">
        <f>IF(AND(18-5&gt;=$D7,18-5&lt;=$E7),"█","")</f>
        <v/>
      </c>
      <c r="S7" s="67">
        <f>IF(AND(19-5&gt;=$D7,19-5&lt;=$E7),"█","")</f>
        <v/>
      </c>
      <c r="T7" s="67">
        <f>IF(AND(20-5&gt;=$D7,20-5&lt;=$E7),"█","")</f>
        <v/>
      </c>
      <c r="U7" s="67">
        <f>IF(AND(21-5&gt;=$D7,21-5&lt;=$E7),"█","")</f>
        <v/>
      </c>
      <c r="V7" s="67">
        <f>IF(AND(22-5&gt;=$D7,22-5&lt;=$E7),"█","")</f>
        <v/>
      </c>
      <c r="W7" s="67">
        <f>IF(AND(23-5&gt;=$D7,23-5&lt;=$E7),"█","")</f>
        <v/>
      </c>
      <c r="X7" s="67">
        <f>IF(AND(24-5&gt;=$D7,24-5&lt;=$E7),"█","")</f>
        <v/>
      </c>
      <c r="Y7" s="67">
        <f>IF(AND(25-5&gt;=$D7,25-5&lt;=$E7),"█","")</f>
        <v/>
      </c>
      <c r="Z7" s="67">
        <f>IF(AND(26-5&gt;=$D7,26-5&lt;=$E7),"█","")</f>
        <v/>
      </c>
      <c r="AA7" s="67">
        <f>IF(AND(27-5&gt;=$D7,27-5&lt;=$E7),"█","")</f>
        <v/>
      </c>
      <c r="AB7" s="67">
        <f>IF(AND(28-5&gt;=$D7,28-5&lt;=$E7),"█","")</f>
        <v/>
      </c>
      <c r="AC7" s="67">
        <f>IF(AND(29-5&gt;=$D7,29-5&lt;=$E7),"█","")</f>
        <v/>
      </c>
      <c r="AD7" s="67">
        <f>IF(AND(30-5&gt;=$D7,30-5&lt;=$E7),"█","")</f>
        <v/>
      </c>
      <c r="AE7" s="67">
        <f>IF(AND(31-5&gt;=$D7,31-5&lt;=$E7),"█","")</f>
        <v/>
      </c>
      <c r="AF7" s="67">
        <f>IF(AND(32-5&gt;=$D7,32-5&lt;=$E7),"█","")</f>
        <v/>
      </c>
      <c r="AG7" s="67">
        <f>IF(AND(33-5&gt;=$D7,33-5&lt;=$E7),"█","")</f>
        <v/>
      </c>
      <c r="AH7" s="67">
        <f>IF(AND(34-5&gt;=$D7,34-5&lt;=$E7),"█","")</f>
        <v/>
      </c>
      <c r="AI7" s="67">
        <f>IF(AND(35-5&gt;=$D7,35-5&lt;=$E7),"█","")</f>
        <v/>
      </c>
      <c r="AJ7" s="67">
        <f>IF(AND(36-5&gt;=$D7,36-5&lt;=$E7),"█","")</f>
        <v/>
      </c>
      <c r="AK7" s="67">
        <f>IF(AND(37-5&gt;=$D7,37-5&lt;=$E7),"█","")</f>
        <v/>
      </c>
      <c r="AL7" s="67">
        <f>IF(AND(38-5&gt;=$D7,38-5&lt;=$E7),"█","")</f>
        <v/>
      </c>
      <c r="AM7" s="67">
        <f>IF(AND(39-5&gt;=$D7,39-5&lt;=$E7),"█","")</f>
        <v/>
      </c>
      <c r="AN7" s="67">
        <f>IF(AND(40-5&gt;=$D7,40-5&lt;=$E7),"█","")</f>
        <v/>
      </c>
      <c r="AO7" s="67">
        <f>IF(AND(41-5&gt;=$D7,41-5&lt;=$E7),"█","")</f>
        <v/>
      </c>
      <c r="AP7" s="67">
        <f>IF(AND(42-5&gt;=$D7,42-5&lt;=$E7),"█","")</f>
        <v/>
      </c>
      <c r="AQ7" s="67">
        <f>IF(AND(43-5&gt;=$D7,43-5&lt;=$E7),"█","")</f>
        <v/>
      </c>
    </row>
    <row r="8">
      <c r="B8" s="4" t="inlineStr">
        <is>
          <t>Groundworks and infrastructure</t>
        </is>
      </c>
      <c r="C8" s="33">
        <f>Assumptions!$C$102</f>
        <v/>
      </c>
      <c r="D8" s="4">
        <f>E8-C8+1</f>
        <v/>
      </c>
      <c r="E8" s="4">
        <f>D7-1</f>
        <v/>
      </c>
      <c r="F8" s="67">
        <f>IF(AND(6-5&gt;=$D8,6-5&lt;=$E8),"█","")</f>
        <v/>
      </c>
      <c r="G8" s="67">
        <f>IF(AND(7-5&gt;=$D8,7-5&lt;=$E8),"█","")</f>
        <v/>
      </c>
      <c r="H8" s="67">
        <f>IF(AND(8-5&gt;=$D8,8-5&lt;=$E8),"█","")</f>
        <v/>
      </c>
      <c r="I8" s="67">
        <f>IF(AND(9-5&gt;=$D8,9-5&lt;=$E8),"█","")</f>
        <v/>
      </c>
      <c r="J8" s="67">
        <f>IF(AND(10-5&gt;=$D8,10-5&lt;=$E8),"█","")</f>
        <v/>
      </c>
      <c r="K8" s="67">
        <f>IF(AND(11-5&gt;=$D8,11-5&lt;=$E8),"█","")</f>
        <v/>
      </c>
      <c r="L8" s="67">
        <f>IF(AND(12-5&gt;=$D8,12-5&lt;=$E8),"█","")</f>
        <v/>
      </c>
      <c r="M8" s="67">
        <f>IF(AND(13-5&gt;=$D8,13-5&lt;=$E8),"█","")</f>
        <v/>
      </c>
      <c r="N8" s="67">
        <f>IF(AND(14-5&gt;=$D8,14-5&lt;=$E8),"█","")</f>
        <v/>
      </c>
      <c r="O8" s="67">
        <f>IF(AND(15-5&gt;=$D8,15-5&lt;=$E8),"█","")</f>
        <v/>
      </c>
      <c r="P8" s="67">
        <f>IF(AND(16-5&gt;=$D8,16-5&lt;=$E8),"█","")</f>
        <v/>
      </c>
      <c r="Q8" s="67">
        <f>IF(AND(17-5&gt;=$D8,17-5&lt;=$E8),"█","")</f>
        <v/>
      </c>
      <c r="R8" s="67">
        <f>IF(AND(18-5&gt;=$D8,18-5&lt;=$E8),"█","")</f>
        <v/>
      </c>
      <c r="S8" s="67">
        <f>IF(AND(19-5&gt;=$D8,19-5&lt;=$E8),"█","")</f>
        <v/>
      </c>
      <c r="T8" s="67">
        <f>IF(AND(20-5&gt;=$D8,20-5&lt;=$E8),"█","")</f>
        <v/>
      </c>
      <c r="U8" s="67">
        <f>IF(AND(21-5&gt;=$D8,21-5&lt;=$E8),"█","")</f>
        <v/>
      </c>
      <c r="V8" s="67">
        <f>IF(AND(22-5&gt;=$D8,22-5&lt;=$E8),"█","")</f>
        <v/>
      </c>
      <c r="W8" s="67">
        <f>IF(AND(23-5&gt;=$D8,23-5&lt;=$E8),"█","")</f>
        <v/>
      </c>
      <c r="X8" s="67">
        <f>IF(AND(24-5&gt;=$D8,24-5&lt;=$E8),"█","")</f>
        <v/>
      </c>
      <c r="Y8" s="67">
        <f>IF(AND(25-5&gt;=$D8,25-5&lt;=$E8),"█","")</f>
        <v/>
      </c>
      <c r="Z8" s="67">
        <f>IF(AND(26-5&gt;=$D8,26-5&lt;=$E8),"█","")</f>
        <v/>
      </c>
      <c r="AA8" s="67">
        <f>IF(AND(27-5&gt;=$D8,27-5&lt;=$E8),"█","")</f>
        <v/>
      </c>
      <c r="AB8" s="67">
        <f>IF(AND(28-5&gt;=$D8,28-5&lt;=$E8),"█","")</f>
        <v/>
      </c>
      <c r="AC8" s="67">
        <f>IF(AND(29-5&gt;=$D8,29-5&lt;=$E8),"█","")</f>
        <v/>
      </c>
      <c r="AD8" s="67">
        <f>IF(AND(30-5&gt;=$D8,30-5&lt;=$E8),"█","")</f>
        <v/>
      </c>
      <c r="AE8" s="67">
        <f>IF(AND(31-5&gt;=$D8,31-5&lt;=$E8),"█","")</f>
        <v/>
      </c>
      <c r="AF8" s="67">
        <f>IF(AND(32-5&gt;=$D8,32-5&lt;=$E8),"█","")</f>
        <v/>
      </c>
      <c r="AG8" s="67">
        <f>IF(AND(33-5&gt;=$D8,33-5&lt;=$E8),"█","")</f>
        <v/>
      </c>
      <c r="AH8" s="67">
        <f>IF(AND(34-5&gt;=$D8,34-5&lt;=$E8),"█","")</f>
        <v/>
      </c>
      <c r="AI8" s="67">
        <f>IF(AND(35-5&gt;=$D8,35-5&lt;=$E8),"█","")</f>
        <v/>
      </c>
      <c r="AJ8" s="67">
        <f>IF(AND(36-5&gt;=$D8,36-5&lt;=$E8),"█","")</f>
        <v/>
      </c>
      <c r="AK8" s="67">
        <f>IF(AND(37-5&gt;=$D8,37-5&lt;=$E8),"█","")</f>
        <v/>
      </c>
      <c r="AL8" s="67">
        <f>IF(AND(38-5&gt;=$D8,38-5&lt;=$E8),"█","")</f>
        <v/>
      </c>
      <c r="AM8" s="67">
        <f>IF(AND(39-5&gt;=$D8,39-5&lt;=$E8),"█","")</f>
        <v/>
      </c>
      <c r="AN8" s="67">
        <f>IF(AND(40-5&gt;=$D8,40-5&lt;=$E8),"█","")</f>
        <v/>
      </c>
      <c r="AO8" s="67">
        <f>IF(AND(41-5&gt;=$D8,41-5&lt;=$E8),"█","")</f>
        <v/>
      </c>
      <c r="AP8" s="67">
        <f>IF(AND(42-5&gt;=$D8,42-5&lt;=$E8),"█","")</f>
        <v/>
      </c>
      <c r="AQ8" s="67">
        <f>IF(AND(43-5&gt;=$D8,43-5&lt;=$E8),"█","")</f>
        <v/>
      </c>
    </row>
    <row r="9">
      <c r="B9" s="4" t="inlineStr">
        <is>
          <t>Module delivery and installation</t>
        </is>
      </c>
      <c r="C9" s="33">
        <f>Assumptions!$C$103</f>
        <v/>
      </c>
      <c r="D9" s="4">
        <f>E9-C9+1</f>
        <v/>
      </c>
      <c r="E9" s="4">
        <f>D8-1</f>
        <v/>
      </c>
      <c r="F9" s="67">
        <f>IF(AND(6-5&gt;=$D9,6-5&lt;=$E9),"█","")</f>
        <v/>
      </c>
      <c r="G9" s="67">
        <f>IF(AND(7-5&gt;=$D9,7-5&lt;=$E9),"█","")</f>
        <v/>
      </c>
      <c r="H9" s="67">
        <f>IF(AND(8-5&gt;=$D9,8-5&lt;=$E9),"█","")</f>
        <v/>
      </c>
      <c r="I9" s="67">
        <f>IF(AND(9-5&gt;=$D9,9-5&lt;=$E9),"█","")</f>
        <v/>
      </c>
      <c r="J9" s="67">
        <f>IF(AND(10-5&gt;=$D9,10-5&lt;=$E9),"█","")</f>
        <v/>
      </c>
      <c r="K9" s="67">
        <f>IF(AND(11-5&gt;=$D9,11-5&lt;=$E9),"█","")</f>
        <v/>
      </c>
      <c r="L9" s="67">
        <f>IF(AND(12-5&gt;=$D9,12-5&lt;=$E9),"█","")</f>
        <v/>
      </c>
      <c r="M9" s="67">
        <f>IF(AND(13-5&gt;=$D9,13-5&lt;=$E9),"█","")</f>
        <v/>
      </c>
      <c r="N9" s="67">
        <f>IF(AND(14-5&gt;=$D9,14-5&lt;=$E9),"█","")</f>
        <v/>
      </c>
      <c r="O9" s="67">
        <f>IF(AND(15-5&gt;=$D9,15-5&lt;=$E9),"█","")</f>
        <v/>
      </c>
      <c r="P9" s="67">
        <f>IF(AND(16-5&gt;=$D9,16-5&lt;=$E9),"█","")</f>
        <v/>
      </c>
      <c r="Q9" s="67">
        <f>IF(AND(17-5&gt;=$D9,17-5&lt;=$E9),"█","")</f>
        <v/>
      </c>
      <c r="R9" s="67">
        <f>IF(AND(18-5&gt;=$D9,18-5&lt;=$E9),"█","")</f>
        <v/>
      </c>
      <c r="S9" s="67">
        <f>IF(AND(19-5&gt;=$D9,19-5&lt;=$E9),"█","")</f>
        <v/>
      </c>
      <c r="T9" s="67">
        <f>IF(AND(20-5&gt;=$D9,20-5&lt;=$E9),"█","")</f>
        <v/>
      </c>
      <c r="U9" s="67">
        <f>IF(AND(21-5&gt;=$D9,21-5&lt;=$E9),"█","")</f>
        <v/>
      </c>
      <c r="V9" s="67">
        <f>IF(AND(22-5&gt;=$D9,22-5&lt;=$E9),"█","")</f>
        <v/>
      </c>
      <c r="W9" s="67">
        <f>IF(AND(23-5&gt;=$D9,23-5&lt;=$E9),"█","")</f>
        <v/>
      </c>
      <c r="X9" s="67">
        <f>IF(AND(24-5&gt;=$D9,24-5&lt;=$E9),"█","")</f>
        <v/>
      </c>
      <c r="Y9" s="67">
        <f>IF(AND(25-5&gt;=$D9,25-5&lt;=$E9),"█","")</f>
        <v/>
      </c>
      <c r="Z9" s="67">
        <f>IF(AND(26-5&gt;=$D9,26-5&lt;=$E9),"█","")</f>
        <v/>
      </c>
      <c r="AA9" s="67">
        <f>IF(AND(27-5&gt;=$D9,27-5&lt;=$E9),"█","")</f>
        <v/>
      </c>
      <c r="AB9" s="67">
        <f>IF(AND(28-5&gt;=$D9,28-5&lt;=$E9),"█","")</f>
        <v/>
      </c>
      <c r="AC9" s="67">
        <f>IF(AND(29-5&gt;=$D9,29-5&lt;=$E9),"█","")</f>
        <v/>
      </c>
      <c r="AD9" s="67">
        <f>IF(AND(30-5&gt;=$D9,30-5&lt;=$E9),"█","")</f>
        <v/>
      </c>
      <c r="AE9" s="67">
        <f>IF(AND(31-5&gt;=$D9,31-5&lt;=$E9),"█","")</f>
        <v/>
      </c>
      <c r="AF9" s="67">
        <f>IF(AND(32-5&gt;=$D9,32-5&lt;=$E9),"█","")</f>
        <v/>
      </c>
      <c r="AG9" s="67">
        <f>IF(AND(33-5&gt;=$D9,33-5&lt;=$E9),"█","")</f>
        <v/>
      </c>
      <c r="AH9" s="67">
        <f>IF(AND(34-5&gt;=$D9,34-5&lt;=$E9),"█","")</f>
        <v/>
      </c>
      <c r="AI9" s="67">
        <f>IF(AND(35-5&gt;=$D9,35-5&lt;=$E9),"█","")</f>
        <v/>
      </c>
      <c r="AJ9" s="67">
        <f>IF(AND(36-5&gt;=$D9,36-5&lt;=$E9),"█","")</f>
        <v/>
      </c>
      <c r="AK9" s="67">
        <f>IF(AND(37-5&gt;=$D9,37-5&lt;=$E9),"█","")</f>
        <v/>
      </c>
      <c r="AL9" s="67">
        <f>IF(AND(38-5&gt;=$D9,38-5&lt;=$E9),"█","")</f>
        <v/>
      </c>
      <c r="AM9" s="67">
        <f>IF(AND(39-5&gt;=$D9,39-5&lt;=$E9),"█","")</f>
        <v/>
      </c>
      <c r="AN9" s="67">
        <f>IF(AND(40-5&gt;=$D9,40-5&lt;=$E9),"█","")</f>
        <v/>
      </c>
      <c r="AO9" s="67">
        <f>IF(AND(41-5&gt;=$D9,41-5&lt;=$E9),"█","")</f>
        <v/>
      </c>
      <c r="AP9" s="67">
        <f>IF(AND(42-5&gt;=$D9,42-5&lt;=$E9),"█","")</f>
        <v/>
      </c>
      <c r="AQ9" s="67">
        <f>IF(AND(43-5&gt;=$D9,43-5&lt;=$E9),"█","")</f>
        <v/>
      </c>
    </row>
    <row r="10">
      <c r="B10" s="4" t="inlineStr">
        <is>
          <t>Commissioning and handover</t>
        </is>
      </c>
      <c r="C10" s="33">
        <f>Assumptions!$C$104</f>
        <v/>
      </c>
      <c r="D10" s="4">
        <f>E10-C10+1</f>
        <v/>
      </c>
      <c r="E10" s="4">
        <f>D9-1</f>
        <v/>
      </c>
      <c r="F10" s="67">
        <f>IF(AND(6-5&gt;=$D10,6-5&lt;=$E10),"█","")</f>
        <v/>
      </c>
      <c r="G10" s="67">
        <f>IF(AND(7-5&gt;=$D10,7-5&lt;=$E10),"█","")</f>
        <v/>
      </c>
      <c r="H10" s="67">
        <f>IF(AND(8-5&gt;=$D10,8-5&lt;=$E10),"█","")</f>
        <v/>
      </c>
      <c r="I10" s="67">
        <f>IF(AND(9-5&gt;=$D10,9-5&lt;=$E10),"█","")</f>
        <v/>
      </c>
      <c r="J10" s="67">
        <f>IF(AND(10-5&gt;=$D10,10-5&lt;=$E10),"█","")</f>
        <v/>
      </c>
      <c r="K10" s="67">
        <f>IF(AND(11-5&gt;=$D10,11-5&lt;=$E10),"█","")</f>
        <v/>
      </c>
      <c r="L10" s="67">
        <f>IF(AND(12-5&gt;=$D10,12-5&lt;=$E10),"█","")</f>
        <v/>
      </c>
      <c r="M10" s="67">
        <f>IF(AND(13-5&gt;=$D10,13-5&lt;=$E10),"█","")</f>
        <v/>
      </c>
      <c r="N10" s="67">
        <f>IF(AND(14-5&gt;=$D10,14-5&lt;=$E10),"█","")</f>
        <v/>
      </c>
      <c r="O10" s="67">
        <f>IF(AND(15-5&gt;=$D10,15-5&lt;=$E10),"█","")</f>
        <v/>
      </c>
      <c r="P10" s="67">
        <f>IF(AND(16-5&gt;=$D10,16-5&lt;=$E10),"█","")</f>
        <v/>
      </c>
      <c r="Q10" s="67">
        <f>IF(AND(17-5&gt;=$D10,17-5&lt;=$E10),"█","")</f>
        <v/>
      </c>
      <c r="R10" s="67">
        <f>IF(AND(18-5&gt;=$D10,18-5&lt;=$E10),"█","")</f>
        <v/>
      </c>
      <c r="S10" s="67">
        <f>IF(AND(19-5&gt;=$D10,19-5&lt;=$E10),"█","")</f>
        <v/>
      </c>
      <c r="T10" s="67">
        <f>IF(AND(20-5&gt;=$D10,20-5&lt;=$E10),"█","")</f>
        <v/>
      </c>
      <c r="U10" s="67">
        <f>IF(AND(21-5&gt;=$D10,21-5&lt;=$E10),"█","")</f>
        <v/>
      </c>
      <c r="V10" s="67">
        <f>IF(AND(22-5&gt;=$D10,22-5&lt;=$E10),"█","")</f>
        <v/>
      </c>
      <c r="W10" s="67">
        <f>IF(AND(23-5&gt;=$D10,23-5&lt;=$E10),"█","")</f>
        <v/>
      </c>
      <c r="X10" s="67">
        <f>IF(AND(24-5&gt;=$D10,24-5&lt;=$E10),"█","")</f>
        <v/>
      </c>
      <c r="Y10" s="67">
        <f>IF(AND(25-5&gt;=$D10,25-5&lt;=$E10),"█","")</f>
        <v/>
      </c>
      <c r="Z10" s="67">
        <f>IF(AND(26-5&gt;=$D10,26-5&lt;=$E10),"█","")</f>
        <v/>
      </c>
      <c r="AA10" s="67">
        <f>IF(AND(27-5&gt;=$D10,27-5&lt;=$E10),"█","")</f>
        <v/>
      </c>
      <c r="AB10" s="67">
        <f>IF(AND(28-5&gt;=$D10,28-5&lt;=$E10),"█","")</f>
        <v/>
      </c>
      <c r="AC10" s="67">
        <f>IF(AND(29-5&gt;=$D10,29-5&lt;=$E10),"█","")</f>
        <v/>
      </c>
      <c r="AD10" s="67">
        <f>IF(AND(30-5&gt;=$D10,30-5&lt;=$E10),"█","")</f>
        <v/>
      </c>
      <c r="AE10" s="67">
        <f>IF(AND(31-5&gt;=$D10,31-5&lt;=$E10),"█","")</f>
        <v/>
      </c>
      <c r="AF10" s="67">
        <f>IF(AND(32-5&gt;=$D10,32-5&lt;=$E10),"█","")</f>
        <v/>
      </c>
      <c r="AG10" s="67">
        <f>IF(AND(33-5&gt;=$D10,33-5&lt;=$E10),"█","")</f>
        <v/>
      </c>
      <c r="AH10" s="67">
        <f>IF(AND(34-5&gt;=$D10,34-5&lt;=$E10),"█","")</f>
        <v/>
      </c>
      <c r="AI10" s="67">
        <f>IF(AND(35-5&gt;=$D10,35-5&lt;=$E10),"█","")</f>
        <v/>
      </c>
      <c r="AJ10" s="67">
        <f>IF(AND(36-5&gt;=$D10,36-5&lt;=$E10),"█","")</f>
        <v/>
      </c>
      <c r="AK10" s="67">
        <f>IF(AND(37-5&gt;=$D10,37-5&lt;=$E10),"█","")</f>
        <v/>
      </c>
      <c r="AL10" s="67">
        <f>IF(AND(38-5&gt;=$D10,38-5&lt;=$E10),"█","")</f>
        <v/>
      </c>
      <c r="AM10" s="67">
        <f>IF(AND(39-5&gt;=$D10,39-5&lt;=$E10),"█","")</f>
        <v/>
      </c>
      <c r="AN10" s="67">
        <f>IF(AND(40-5&gt;=$D10,40-5&lt;=$E10),"█","")</f>
        <v/>
      </c>
      <c r="AO10" s="67">
        <f>IF(AND(41-5&gt;=$D10,41-5&lt;=$E10),"█","")</f>
        <v/>
      </c>
      <c r="AP10" s="67">
        <f>IF(AND(42-5&gt;=$D10,42-5&lt;=$E10),"█","")</f>
        <v/>
      </c>
      <c r="AQ10" s="67">
        <f>IF(AND(43-5&gt;=$D10,43-5&lt;=$E10),"█","")</f>
        <v/>
      </c>
    </row>
    <row r="12">
      <c r="B12" s="6" t="inlineStr">
        <is>
          <t>Village must be live by month</t>
        </is>
      </c>
      <c r="C12" s="33">
        <f>Assumptions!$C$105</f>
        <v/>
      </c>
    </row>
    <row r="13">
      <c r="B13" s="6" t="inlineStr">
        <is>
          <t>First month with bed demand</t>
        </is>
      </c>
      <c r="C13" s="33">
        <f>BedDemand!$C$23</f>
        <v/>
      </c>
    </row>
    <row r="14">
      <c r="B14" s="6" t="inlineStr">
        <is>
          <t>Earliest the village work must start</t>
        </is>
      </c>
      <c r="C14" s="4">
        <f>D10</f>
        <v/>
      </c>
    </row>
    <row r="15">
      <c r="B15" s="6" t="inlineStr">
        <is>
          <t>VERDICT</t>
        </is>
      </c>
      <c r="C15" s="68">
        <f>IF(C14&lt;1,"ALREADY LATE by "&amp;(1-C14)&amp;" months",IF(C12&lt;=C13,"Deliverable — "&amp;(C14-1)&amp;" months of slack before month 1","LATE — the village is live after the first arrival"))</f>
        <v/>
      </c>
    </row>
    <row r="17">
      <c r="B17" s="63" t="inlineStr">
        <is>
          <t>A negative start month is the finding, not a formatting problem. It means the consent and lead-time chain does not fit before the first worker arrives, and the choices are: start now, phase the village, or house the early trades commercially at a cost nobody has budgeted.</t>
        </is>
      </c>
    </row>
  </sheetData>
  <mergeCells count="2">
    <mergeCell ref="C15:L15"/>
    <mergeCell ref="B17:T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G34"/>
  <sheetViews>
    <sheetView showGridLines="0" workbookViewId="0">
      <selection activeCell="A1" sqref="A1"/>
    </sheetView>
  </sheetViews>
  <sheetFormatPr baseColWidth="8" defaultRowHeight="15"/>
  <cols>
    <col width="4" customWidth="1" min="1" max="1"/>
    <col width="10" customWidth="1" min="2" max="2"/>
    <col width="40" customWidth="1" min="3" max="3"/>
    <col width="11" customWidth="1" min="4" max="4"/>
    <col width="9" customWidth="1" min="5" max="5"/>
    <col width="15" customWidth="1" min="6" max="6"/>
    <col width="54" customWidth="1" min="7" max="7"/>
  </cols>
  <sheetData>
    <row r="2">
      <c r="B2" s="1" t="inlineStr">
        <is>
          <t>CAPEX BY PACKAGE — WHAT IT COSTS TO CREATE THE VILLAGE</t>
        </is>
      </c>
    </row>
    <row r="3">
      <c r="B3" s="69" t="inlineStr">
        <is>
          <t>Grouped as the five packages are bought. Every rate is INDICATIVE, sits in blue on Assumptions, and must be replaced with your own quotation before this number leaves the building.</t>
        </is>
      </c>
    </row>
    <row r="5">
      <c r="B5" s="10" t="inlineStr">
        <is>
          <t>Pkg</t>
        </is>
      </c>
      <c r="C5" s="10" t="inlineStr">
        <is>
          <t>Item</t>
        </is>
      </c>
      <c r="D5" s="10" t="inlineStr">
        <is>
          <t>Quantity</t>
        </is>
      </c>
      <c r="E5" s="10" t="inlineStr">
        <is>
          <t>Unit</t>
        </is>
      </c>
      <c r="F5" s="10" t="inlineStr">
        <is>
          <t>Cost</t>
        </is>
      </c>
      <c r="G5" s="10" t="inlineStr">
        <is>
          <t>Basis</t>
        </is>
      </c>
    </row>
    <row r="6" ht="26" customHeight="1">
      <c r="B6" s="86" t="inlineStr">
        <is>
          <t>P1</t>
        </is>
      </c>
      <c r="C6" s="13" t="inlineStr">
        <is>
          <t>Site clearance, cut and fill, ground improvement</t>
        </is>
      </c>
      <c r="D6" s="70">
        <f>Accommodation!$C$23</f>
        <v/>
      </c>
      <c r="E6" s="15" t="inlineStr">
        <is>
          <t>m²</t>
        </is>
      </c>
      <c r="F6" s="71">
        <f>D6*(Assumptions!$C$84*0.45)</f>
        <v/>
      </c>
      <c r="G6" s="16" t="inlineStr">
        <is>
          <t>Total site area. Ground conditions are unknown here and drive this line more than anything else.</t>
        </is>
      </c>
    </row>
    <row r="7">
      <c r="B7" s="86" t="inlineStr">
        <is>
          <t>P1</t>
        </is>
      </c>
      <c r="C7" s="13" t="inlineStr">
        <is>
          <t>Roads, hardstanding, footpaths and parking</t>
        </is>
      </c>
      <c r="D7" s="70">
        <f>Accommodation!$C$21</f>
        <v/>
      </c>
      <c r="E7" s="15" t="inlineStr">
        <is>
          <t>m²</t>
        </is>
      </c>
      <c r="F7" s="71">
        <f>D7*(Assumptions!$C$84*0.55)</f>
        <v/>
      </c>
      <c r="G7" s="16" t="inlineStr">
        <is>
          <t>External works area from Accommodation.</t>
        </is>
      </c>
    </row>
    <row r="8" ht="26" customHeight="1">
      <c r="B8" s="86" t="inlineStr">
        <is>
          <t>P1</t>
        </is>
      </c>
      <c r="C8" s="13" t="inlineStr">
        <is>
          <t>Foundations and bases for modules</t>
        </is>
      </c>
      <c r="D8" s="70">
        <f>Accommodation!$C$20</f>
        <v/>
      </c>
      <c r="E8" s="15" t="inlineStr">
        <is>
          <t>m²</t>
        </is>
      </c>
      <c r="F8" s="71">
        <f>D8*(180)</f>
        <v/>
      </c>
      <c r="G8" s="16" t="inlineStr">
        <is>
          <t>Module footprint. INDICATIVE £180/m² — depends entirely on the ground investigation nobody has done.</t>
        </is>
      </c>
    </row>
    <row r="9">
      <c r="B9" s="86" t="inlineStr">
        <is>
          <t>P1</t>
        </is>
      </c>
      <c r="C9" s="13" t="inlineStr">
        <is>
          <t>Drainage, surface and foul</t>
        </is>
      </c>
      <c r="D9" s="70">
        <f>Accommodation!$C$23</f>
        <v/>
      </c>
      <c r="E9" s="15" t="inlineStr">
        <is>
          <t>m²</t>
        </is>
      </c>
      <c r="F9" s="71">
        <f>D9*(38)</f>
        <v/>
      </c>
      <c r="G9" s="16" t="inlineStr">
        <is>
          <t>INDICATIVE.</t>
        </is>
      </c>
    </row>
    <row r="10" ht="26" customHeight="1">
      <c r="B10" s="86" t="inlineStr">
        <is>
          <t>P1</t>
        </is>
      </c>
      <c r="C10" s="13" t="inlineStr">
        <is>
          <t>Incoming utility infrastructure to termination points</t>
        </is>
      </c>
      <c r="D10" s="51" t="n">
        <v>1</v>
      </c>
      <c r="E10" s="15" t="inlineStr">
        <is>
          <t>lump</t>
        </is>
      </c>
      <c r="F10" s="71">
        <f>D10*(Assumptions!$C$85)</f>
        <v/>
      </c>
      <c r="G10" s="16" t="inlineStr">
        <is>
          <t>Water, foul, power and comms. Get this priced before the land is committed, not after.</t>
        </is>
      </c>
    </row>
    <row r="11">
      <c r="B11" s="86" t="inlineStr">
        <is>
          <t>P2</t>
        </is>
      </c>
      <c r="C11" s="13" t="inlineStr">
        <is>
          <t>Bedroom modules — supply, deliver, install</t>
        </is>
      </c>
      <c r="D11" s="70">
        <f>Accommodation!$C$12</f>
        <v/>
      </c>
      <c r="E11" s="15" t="inlineStr">
        <is>
          <t>rooms</t>
        </is>
      </c>
      <c r="F11" s="71">
        <f>D11*(Assumptions!$C$83)</f>
        <v/>
      </c>
      <c r="G11" s="16" t="inlineStr">
        <is>
          <t>The largest single line and the most specification-sensitive.</t>
        </is>
      </c>
    </row>
    <row r="12">
      <c r="B12" s="86" t="inlineStr">
        <is>
          <t>P2</t>
        </is>
      </c>
      <c r="C12" s="13" t="inlineStr">
        <is>
          <t>Amenity buildings — gym, social, laundry, drying</t>
        </is>
      </c>
      <c r="D12" s="70">
        <f>Facilities!$C$24+Facilities!$C$25+Facilities!$C$20</f>
        <v/>
      </c>
      <c r="E12" s="15" t="inlineStr">
        <is>
          <t>m²</t>
        </is>
      </c>
      <c r="F12" s="71">
        <f>D12*(1450)</f>
        <v/>
      </c>
      <c r="G12" s="16" t="inlineStr">
        <is>
          <t>INDICATIVE £1,450/m² for a modular amenity building.</t>
        </is>
      </c>
    </row>
    <row r="13">
      <c r="B13" s="86" t="inlineStr">
        <is>
          <t>P2</t>
        </is>
      </c>
      <c r="C13" s="13" t="inlineStr">
        <is>
          <t>Reception, office and stores</t>
        </is>
      </c>
      <c r="D13" s="70">
        <f>Facilities!$C$26+Facilities!$C$27</f>
        <v/>
      </c>
      <c r="E13" s="15" t="inlineStr">
        <is>
          <t>m²</t>
        </is>
      </c>
      <c r="F13" s="71">
        <f>D13*(1250)</f>
        <v/>
      </c>
      <c r="G13" s="16" t="inlineStr">
        <is>
          <t>INDICATIVE.</t>
        </is>
      </c>
    </row>
    <row r="14" ht="26" customHeight="1">
      <c r="B14" s="86" t="inlineStr">
        <is>
          <t>P2</t>
        </is>
      </c>
      <c r="C14" s="13" t="inlineStr">
        <is>
          <t>Kitchen and dining building shell</t>
        </is>
      </c>
      <c r="D14" s="70">
        <f>Facilities!$C$11+Facilities!$C$12</f>
        <v/>
      </c>
      <c r="E14" s="15" t="inlineStr">
        <is>
          <t>m²</t>
        </is>
      </c>
      <c r="F14" s="71">
        <f>D14*(1600)</f>
        <v/>
      </c>
      <c r="G14" s="16" t="inlineStr">
        <is>
          <t>INDICATIVE. Shell only — the fit-out is P3. If the kitchen is bought as a finished module instead, move this and the P3 line together.</t>
        </is>
      </c>
    </row>
    <row r="15">
      <c r="B15" s="86" t="inlineStr">
        <is>
          <t>P3</t>
        </is>
      </c>
      <c r="C15" s="13" t="inlineStr">
        <is>
          <t>Kitchen fit-out, servery, wash-up and cold stores</t>
        </is>
      </c>
      <c r="D15" s="70">
        <f>Facilities!$C$10</f>
        <v/>
      </c>
      <c r="E15" s="15" t="inlineStr">
        <is>
          <t>covers</t>
        </is>
      </c>
      <c r="F15" s="71">
        <f>D15*(Assumptions!$C$87)</f>
        <v/>
      </c>
      <c r="G15" s="16" t="inlineStr">
        <is>
          <t>Design covers from Facilities.</t>
        </is>
      </c>
    </row>
    <row r="16">
      <c r="B16" s="86" t="inlineStr">
        <is>
          <t>P3</t>
        </is>
      </c>
      <c r="C16" s="13" t="inlineStr">
        <is>
          <t>Extraction, interlocks and gas safety</t>
        </is>
      </c>
      <c r="D16" s="51" t="n">
        <v>1</v>
      </c>
      <c r="E16" s="15" t="inlineStr">
        <is>
          <t>lump</t>
        </is>
      </c>
      <c r="F16" s="71">
        <f>D16*(145000)</f>
        <v/>
      </c>
      <c r="G16" s="16" t="inlineStr">
        <is>
          <t>INDICATIVE.</t>
        </is>
      </c>
    </row>
    <row r="17">
      <c r="B17" s="86" t="inlineStr">
        <is>
          <t>P4</t>
        </is>
      </c>
      <c r="C17" s="13" t="inlineStr">
        <is>
          <t>Bedroom furniture and FF&amp;E</t>
        </is>
      </c>
      <c r="D17" s="70">
        <f>Accommodation!$C$12</f>
        <v/>
      </c>
      <c r="E17" s="15" t="inlineStr">
        <is>
          <t>rooms</t>
        </is>
      </c>
      <c r="F17" s="71">
        <f>D17*(Assumptions!$C$86)</f>
        <v/>
      </c>
      <c r="G17" s="16" t="inlineStr">
        <is>
          <t>Bed, mattress, wardrobe, desk, chair, storage, soft furnishings.</t>
        </is>
      </c>
    </row>
    <row r="18">
      <c r="B18" s="86" t="inlineStr">
        <is>
          <t>P4</t>
        </is>
      </c>
      <c r="C18" s="13" t="inlineStr">
        <is>
          <t>Dining furniture</t>
        </is>
      </c>
      <c r="D18" s="70">
        <f>Facilities!$C$10</f>
        <v/>
      </c>
      <c r="E18" s="15" t="inlineStr">
        <is>
          <t>covers</t>
        </is>
      </c>
      <c r="F18" s="71">
        <f>D18*(260)</f>
        <v/>
      </c>
      <c r="G18" s="16" t="inlineStr">
        <is>
          <t>INDICATIVE. In P4, not P3 — see interface IF-04.</t>
        </is>
      </c>
    </row>
    <row r="19">
      <c r="B19" s="86" t="inlineStr">
        <is>
          <t>P4</t>
        </is>
      </c>
      <c r="C19" s="13" t="inlineStr">
        <is>
          <t>Social, gym and office furniture and equipment</t>
        </is>
      </c>
      <c r="D19" s="70">
        <f>Facilities!$C$24+Facilities!$C$25+Facilities!$C$26</f>
        <v/>
      </c>
      <c r="E19" s="15" t="inlineStr">
        <is>
          <t>m²</t>
        </is>
      </c>
      <c r="F19" s="71">
        <f>D19*(220)</f>
        <v/>
      </c>
      <c r="G19" s="16" t="inlineStr">
        <is>
          <t>INDICATIVE.</t>
        </is>
      </c>
    </row>
    <row r="20">
      <c r="B20" s="86" t="inlineStr">
        <is>
          <t>P4</t>
        </is>
      </c>
      <c r="C20" s="13" t="inlineStr">
        <is>
          <t>Laundry white goods</t>
        </is>
      </c>
      <c r="D20" s="70">
        <f>Facilities!$C$17+Facilities!$C$18</f>
        <v/>
      </c>
      <c r="E20" s="15" t="inlineStr">
        <is>
          <t>no.</t>
        </is>
      </c>
      <c r="F20" s="71">
        <f>D20*(1400)</f>
        <v/>
      </c>
      <c r="G20" s="16" t="inlineStr">
        <is>
          <t>INDICATIVE.</t>
        </is>
      </c>
    </row>
    <row r="21" ht="26" customHeight="1">
      <c r="B21" s="86" t="inlineStr">
        <is>
          <t>P5</t>
        </is>
      </c>
      <c r="C21" s="13" t="inlineStr">
        <is>
          <t>Mobilisation — recruit, induct, policies, systems</t>
        </is>
      </c>
      <c r="D21" s="51" t="n">
        <v>1</v>
      </c>
      <c r="E21" s="15" t="inlineStr">
        <is>
          <t>lump</t>
        </is>
      </c>
      <c r="F21" s="71">
        <f>D21*(165000)</f>
        <v/>
      </c>
      <c r="G21" s="16" t="inlineStr">
        <is>
          <t>INDICATIVE. Operational readiness before the first resident, not after.</t>
        </is>
      </c>
    </row>
    <row r="22" ht="26" customHeight="1">
      <c r="B22" s="86" t="inlineStr">
        <is>
          <t>--</t>
        </is>
      </c>
      <c r="C22" s="13" t="inlineStr">
        <is>
          <t>Design, consents, surveys and fees</t>
        </is>
      </c>
      <c r="D22" s="51" t="n">
        <v>1</v>
      </c>
      <c r="E22" s="15" t="inlineStr">
        <is>
          <t>lump</t>
        </is>
      </c>
      <c r="F22" s="71">
        <f>D22*(Assumptions!$C$88)</f>
        <v/>
      </c>
      <c r="G22" s="16" t="inlineStr">
        <is>
          <t>Planning, building control, fire engineering, ground investigation, ecology, transport assessment. Sits across all five packages and belongs to none.</t>
        </is>
      </c>
    </row>
    <row r="24" ht="20" customHeight="1">
      <c r="A24" s="9" t="inlineStr">
        <is>
          <t xml:space="preserve">   BY PACKAGE</t>
        </is>
      </c>
    </row>
    <row r="25">
      <c r="B25" s="12" t="inlineStr">
        <is>
          <t>Pkg</t>
        </is>
      </c>
      <c r="C25" s="12" t="inlineStr">
        <is>
          <t>Package</t>
        </is>
      </c>
      <c r="D25" s="12" t="inlineStr">
        <is>
          <t>Capex</t>
        </is>
      </c>
      <c r="E25" s="12" t="inlineStr">
        <is>
          <t>Share</t>
        </is>
      </c>
    </row>
    <row r="26">
      <c r="B26" s="6" t="inlineStr">
        <is>
          <t>P1</t>
        </is>
      </c>
      <c r="C26" s="4" t="inlineStr">
        <is>
          <t>Civil works</t>
        </is>
      </c>
      <c r="D26" s="73">
        <f>SUMIF($B$6:$B$22,B26,$F$6:$F$22)</f>
        <v/>
      </c>
      <c r="E26" s="44">
        <f>IFERROR(D26/$D$32,0)</f>
        <v/>
      </c>
    </row>
    <row r="27">
      <c r="B27" s="6" t="inlineStr">
        <is>
          <t>P2</t>
        </is>
      </c>
      <c r="C27" s="4" t="inlineStr">
        <is>
          <t>Modular accommodation</t>
        </is>
      </c>
      <c r="D27" s="73">
        <f>SUMIF($B$6:$B$22,B27,$F$6:$F$22)</f>
        <v/>
      </c>
      <c r="E27" s="44">
        <f>IFERROR(D27/$D$32,0)</f>
        <v/>
      </c>
    </row>
    <row r="28">
      <c r="B28" s="6" t="inlineStr">
        <is>
          <t>P3</t>
        </is>
      </c>
      <c r="C28" s="4" t="inlineStr">
        <is>
          <t>Kitchen</t>
        </is>
      </c>
      <c r="D28" s="73">
        <f>SUMIF($B$6:$B$22,B28,$F$6:$F$22)</f>
        <v/>
      </c>
      <c r="E28" s="44">
        <f>IFERROR(D28/$D$32,0)</f>
        <v/>
      </c>
    </row>
    <row r="29">
      <c r="B29" s="6" t="inlineStr">
        <is>
          <t>P4</t>
        </is>
      </c>
      <c r="C29" s="4" t="inlineStr">
        <is>
          <t>Furniture</t>
        </is>
      </c>
      <c r="D29" s="73">
        <f>SUMIF($B$6:$B$22,B29,$F$6:$F$22)</f>
        <v/>
      </c>
      <c r="E29" s="44">
        <f>IFERROR(D29/$D$32,0)</f>
        <v/>
      </c>
    </row>
    <row r="30">
      <c r="B30" s="6" t="inlineStr">
        <is>
          <t>P5</t>
        </is>
      </c>
      <c r="C30" s="4" t="inlineStr">
        <is>
          <t>FM and operation</t>
        </is>
      </c>
      <c r="D30" s="73">
        <f>SUMIF($B$6:$B$22,B30,$F$6:$F$22)</f>
        <v/>
      </c>
      <c r="E30" s="44">
        <f>IFERROR(D30/$D$32,0)</f>
        <v/>
      </c>
    </row>
    <row r="31">
      <c r="C31" s="4" t="inlineStr">
        <is>
          <t>Design, consents and fees (across all packages)</t>
        </is>
      </c>
      <c r="D31" s="73">
        <f>SUMIF($B$6:$B$22,"--",$F$6:$F$22)</f>
        <v/>
      </c>
    </row>
    <row r="32">
      <c r="C32" s="4" t="inlineStr">
        <is>
          <t>Demobilisation and reinstatement</t>
        </is>
      </c>
      <c r="D32" s="73">
        <f>SUM(D26:D29)*Assumptions!$C$89</f>
        <v/>
      </c>
      <c r="G32" s="3" t="inlineStr">
        <is>
          <t>Applied to the physical packages P1–P4 only. Design fees and operational mobilisation are not demobilised.</t>
        </is>
      </c>
    </row>
    <row r="33">
      <c r="C33" s="1" t="inlineStr">
        <is>
          <t>TOTAL CAPEX</t>
        </is>
      </c>
      <c r="D33" s="74">
        <f>SUM(D26:D32)</f>
        <v/>
      </c>
    </row>
    <row r="34">
      <c r="C34" s="4" t="inlineStr">
        <is>
          <t>Capex per room</t>
        </is>
      </c>
      <c r="D34" s="73">
        <f>IFERROR(D33/Accommodation!$C$12,0)</f>
        <v/>
      </c>
    </row>
  </sheetData>
  <mergeCells count="1">
    <mergeCell ref="A24:G2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AP15"/>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4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14" customWidth="1" min="42" max="42"/>
  </cols>
  <sheetData>
    <row r="2">
      <c r="B2" s="1" t="inlineStr">
        <is>
          <t>OPEX — WHAT IT COSTS TO RUN, MONTH BY MONTH</t>
        </is>
      </c>
    </row>
    <row r="3">
      <c r="B3" s="69" t="inlineStr">
        <is>
          <t>Follows occupancy, so the empty months cost less than the full ones. Every rate is INDICATIVE and sits on Assumptions.</t>
        </is>
      </c>
    </row>
    <row r="5">
      <c r="B5" s="6" t="inlineStr">
        <is>
          <t>Month</t>
        </is>
      </c>
      <c r="C5" s="36">
        <f>Workforce!C5</f>
        <v/>
      </c>
      <c r="D5" s="36">
        <f>Workforce!D5</f>
        <v/>
      </c>
      <c r="E5" s="36">
        <f>Workforce!E5</f>
        <v/>
      </c>
      <c r="F5" s="36">
        <f>Workforce!F5</f>
        <v/>
      </c>
      <c r="G5" s="36">
        <f>Workforce!G5</f>
        <v/>
      </c>
      <c r="H5" s="36">
        <f>Workforce!H5</f>
        <v/>
      </c>
      <c r="I5" s="36">
        <f>Workforce!I5</f>
        <v/>
      </c>
      <c r="J5" s="36">
        <f>Workforce!J5</f>
        <v/>
      </c>
      <c r="K5" s="36">
        <f>Workforce!K5</f>
        <v/>
      </c>
      <c r="L5" s="36">
        <f>Workforce!L5</f>
        <v/>
      </c>
      <c r="M5" s="36">
        <f>Workforce!M5</f>
        <v/>
      </c>
      <c r="N5" s="36">
        <f>Workforce!N5</f>
        <v/>
      </c>
      <c r="O5" s="36">
        <f>Workforce!O5</f>
        <v/>
      </c>
      <c r="P5" s="36">
        <f>Workforce!P5</f>
        <v/>
      </c>
      <c r="Q5" s="36">
        <f>Workforce!Q5</f>
        <v/>
      </c>
      <c r="R5" s="36">
        <f>Workforce!R5</f>
        <v/>
      </c>
      <c r="S5" s="36">
        <f>Workforce!S5</f>
        <v/>
      </c>
      <c r="T5" s="36">
        <f>Workforce!T5</f>
        <v/>
      </c>
      <c r="U5" s="36">
        <f>Workforce!U5</f>
        <v/>
      </c>
      <c r="V5" s="36">
        <f>Workforce!V5</f>
        <v/>
      </c>
      <c r="W5" s="36">
        <f>Workforce!W5</f>
        <v/>
      </c>
      <c r="X5" s="36">
        <f>Workforce!X5</f>
        <v/>
      </c>
      <c r="Y5" s="36">
        <f>Workforce!Y5</f>
        <v/>
      </c>
      <c r="Z5" s="36">
        <f>Workforce!Z5</f>
        <v/>
      </c>
      <c r="AA5" s="36">
        <f>Workforce!AA5</f>
        <v/>
      </c>
      <c r="AB5" s="36">
        <f>Workforce!AB5</f>
        <v/>
      </c>
      <c r="AC5" s="36">
        <f>Workforce!AC5</f>
        <v/>
      </c>
      <c r="AD5" s="36">
        <f>Workforce!AD5</f>
        <v/>
      </c>
      <c r="AE5" s="36">
        <f>Workforce!AE5</f>
        <v/>
      </c>
      <c r="AF5" s="36">
        <f>Workforce!AF5</f>
        <v/>
      </c>
      <c r="AG5" s="36">
        <f>Workforce!AG5</f>
        <v/>
      </c>
      <c r="AH5" s="36">
        <f>Workforce!AH5</f>
        <v/>
      </c>
      <c r="AI5" s="36">
        <f>Workforce!AI5</f>
        <v/>
      </c>
      <c r="AJ5" s="36">
        <f>Workforce!AJ5</f>
        <v/>
      </c>
      <c r="AK5" s="36">
        <f>Workforce!AK5</f>
        <v/>
      </c>
      <c r="AL5" s="36">
        <f>Workforce!AL5</f>
        <v/>
      </c>
      <c r="AM5" s="36">
        <f>Workforce!AM5</f>
        <v/>
      </c>
      <c r="AN5" s="36">
        <f>Workforce!AN5</f>
        <v/>
      </c>
      <c r="AP5" s="6" t="inlineStr">
        <is>
          <t>TOTAL</t>
        </is>
      </c>
    </row>
    <row r="6">
      <c r="B6" s="4" t="inlineStr">
        <is>
          <t>Room hire</t>
        </is>
      </c>
      <c r="C6" s="73">
        <f>BedDemand!C14*Assumptions!$C$90</f>
        <v/>
      </c>
      <c r="D6" s="73">
        <f>BedDemand!D14*Assumptions!$C$90</f>
        <v/>
      </c>
      <c r="E6" s="73">
        <f>BedDemand!E14*Assumptions!$C$90</f>
        <v/>
      </c>
      <c r="F6" s="73">
        <f>BedDemand!F14*Assumptions!$C$90</f>
        <v/>
      </c>
      <c r="G6" s="73">
        <f>BedDemand!G14*Assumptions!$C$90</f>
        <v/>
      </c>
      <c r="H6" s="73">
        <f>BedDemand!H14*Assumptions!$C$90</f>
        <v/>
      </c>
      <c r="I6" s="73">
        <f>BedDemand!I14*Assumptions!$C$90</f>
        <v/>
      </c>
      <c r="J6" s="73">
        <f>BedDemand!J14*Assumptions!$C$90</f>
        <v/>
      </c>
      <c r="K6" s="73">
        <f>BedDemand!K14*Assumptions!$C$90</f>
        <v/>
      </c>
      <c r="L6" s="73">
        <f>BedDemand!L14*Assumptions!$C$90</f>
        <v/>
      </c>
      <c r="M6" s="73">
        <f>BedDemand!M14*Assumptions!$C$90</f>
        <v/>
      </c>
      <c r="N6" s="73">
        <f>BedDemand!N14*Assumptions!$C$90</f>
        <v/>
      </c>
      <c r="O6" s="73">
        <f>BedDemand!O14*Assumptions!$C$90</f>
        <v/>
      </c>
      <c r="P6" s="73">
        <f>BedDemand!P14*Assumptions!$C$90</f>
        <v/>
      </c>
      <c r="Q6" s="73">
        <f>BedDemand!Q14*Assumptions!$C$90</f>
        <v/>
      </c>
      <c r="R6" s="73">
        <f>BedDemand!R14*Assumptions!$C$90</f>
        <v/>
      </c>
      <c r="S6" s="73">
        <f>BedDemand!S14*Assumptions!$C$90</f>
        <v/>
      </c>
      <c r="T6" s="73">
        <f>BedDemand!T14*Assumptions!$C$90</f>
        <v/>
      </c>
      <c r="U6" s="73">
        <f>BedDemand!U14*Assumptions!$C$90</f>
        <v/>
      </c>
      <c r="V6" s="73">
        <f>BedDemand!V14*Assumptions!$C$90</f>
        <v/>
      </c>
      <c r="W6" s="73">
        <f>BedDemand!W14*Assumptions!$C$90</f>
        <v/>
      </c>
      <c r="X6" s="73">
        <f>BedDemand!X14*Assumptions!$C$90</f>
        <v/>
      </c>
      <c r="Y6" s="73">
        <f>BedDemand!Y14*Assumptions!$C$90</f>
        <v/>
      </c>
      <c r="Z6" s="73">
        <f>BedDemand!Z14*Assumptions!$C$90</f>
        <v/>
      </c>
      <c r="AA6" s="73">
        <f>BedDemand!AA14*Assumptions!$C$90</f>
        <v/>
      </c>
      <c r="AB6" s="73">
        <f>BedDemand!AB14*Assumptions!$C$90</f>
        <v/>
      </c>
      <c r="AC6" s="73">
        <f>BedDemand!AC14*Assumptions!$C$90</f>
        <v/>
      </c>
      <c r="AD6" s="73">
        <f>BedDemand!AD14*Assumptions!$C$90</f>
        <v/>
      </c>
      <c r="AE6" s="73">
        <f>BedDemand!AE14*Assumptions!$C$90</f>
        <v/>
      </c>
      <c r="AF6" s="73">
        <f>BedDemand!AF14*Assumptions!$C$90</f>
        <v/>
      </c>
      <c r="AG6" s="73">
        <f>BedDemand!AG14*Assumptions!$C$90</f>
        <v/>
      </c>
      <c r="AH6" s="73">
        <f>BedDemand!AH14*Assumptions!$C$90</f>
        <v/>
      </c>
      <c r="AI6" s="73">
        <f>BedDemand!AI14*Assumptions!$C$90</f>
        <v/>
      </c>
      <c r="AJ6" s="73">
        <f>BedDemand!AJ14*Assumptions!$C$90</f>
        <v/>
      </c>
      <c r="AK6" s="73">
        <f>BedDemand!AK14*Assumptions!$C$90</f>
        <v/>
      </c>
      <c r="AL6" s="73">
        <f>BedDemand!AL14*Assumptions!$C$90</f>
        <v/>
      </c>
      <c r="AM6" s="73">
        <f>BedDemand!AM14*Assumptions!$C$90</f>
        <v/>
      </c>
      <c r="AN6" s="73">
        <f>BedDemand!AN14*Assumptions!$C$90</f>
        <v/>
      </c>
      <c r="AP6" s="72">
        <f>SUM(C6:AN6)</f>
        <v/>
      </c>
    </row>
    <row r="7">
      <c r="B7" s="4" t="inlineStr">
        <is>
          <t>Utilities</t>
        </is>
      </c>
      <c r="C7" s="73">
        <f>BedDemand!C10*Assumptions!$C$91</f>
        <v/>
      </c>
      <c r="D7" s="73">
        <f>BedDemand!D10*Assumptions!$C$91</f>
        <v/>
      </c>
      <c r="E7" s="73">
        <f>BedDemand!E10*Assumptions!$C$91</f>
        <v/>
      </c>
      <c r="F7" s="73">
        <f>BedDemand!F10*Assumptions!$C$91</f>
        <v/>
      </c>
      <c r="G7" s="73">
        <f>BedDemand!G10*Assumptions!$C$91</f>
        <v/>
      </c>
      <c r="H7" s="73">
        <f>BedDemand!H10*Assumptions!$C$91</f>
        <v/>
      </c>
      <c r="I7" s="73">
        <f>BedDemand!I10*Assumptions!$C$91</f>
        <v/>
      </c>
      <c r="J7" s="73">
        <f>BedDemand!J10*Assumptions!$C$91</f>
        <v/>
      </c>
      <c r="K7" s="73">
        <f>BedDemand!K10*Assumptions!$C$91</f>
        <v/>
      </c>
      <c r="L7" s="73">
        <f>BedDemand!L10*Assumptions!$C$91</f>
        <v/>
      </c>
      <c r="M7" s="73">
        <f>BedDemand!M10*Assumptions!$C$91</f>
        <v/>
      </c>
      <c r="N7" s="73">
        <f>BedDemand!N10*Assumptions!$C$91</f>
        <v/>
      </c>
      <c r="O7" s="73">
        <f>BedDemand!O10*Assumptions!$C$91</f>
        <v/>
      </c>
      <c r="P7" s="73">
        <f>BedDemand!P10*Assumptions!$C$91</f>
        <v/>
      </c>
      <c r="Q7" s="73">
        <f>BedDemand!Q10*Assumptions!$C$91</f>
        <v/>
      </c>
      <c r="R7" s="73">
        <f>BedDemand!R10*Assumptions!$C$91</f>
        <v/>
      </c>
      <c r="S7" s="73">
        <f>BedDemand!S10*Assumptions!$C$91</f>
        <v/>
      </c>
      <c r="T7" s="73">
        <f>BedDemand!T10*Assumptions!$C$91</f>
        <v/>
      </c>
      <c r="U7" s="73">
        <f>BedDemand!U10*Assumptions!$C$91</f>
        <v/>
      </c>
      <c r="V7" s="73">
        <f>BedDemand!V10*Assumptions!$C$91</f>
        <v/>
      </c>
      <c r="W7" s="73">
        <f>BedDemand!W10*Assumptions!$C$91</f>
        <v/>
      </c>
      <c r="X7" s="73">
        <f>BedDemand!X10*Assumptions!$C$91</f>
        <v/>
      </c>
      <c r="Y7" s="73">
        <f>BedDemand!Y10*Assumptions!$C$91</f>
        <v/>
      </c>
      <c r="Z7" s="73">
        <f>BedDemand!Z10*Assumptions!$C$91</f>
        <v/>
      </c>
      <c r="AA7" s="73">
        <f>BedDemand!AA10*Assumptions!$C$91</f>
        <v/>
      </c>
      <c r="AB7" s="73">
        <f>BedDemand!AB10*Assumptions!$C$91</f>
        <v/>
      </c>
      <c r="AC7" s="73">
        <f>BedDemand!AC10*Assumptions!$C$91</f>
        <v/>
      </c>
      <c r="AD7" s="73">
        <f>BedDemand!AD10*Assumptions!$C$91</f>
        <v/>
      </c>
      <c r="AE7" s="73">
        <f>BedDemand!AE10*Assumptions!$C$91</f>
        <v/>
      </c>
      <c r="AF7" s="73">
        <f>BedDemand!AF10*Assumptions!$C$91</f>
        <v/>
      </c>
      <c r="AG7" s="73">
        <f>BedDemand!AG10*Assumptions!$C$91</f>
        <v/>
      </c>
      <c r="AH7" s="73">
        <f>BedDemand!AH10*Assumptions!$C$91</f>
        <v/>
      </c>
      <c r="AI7" s="73">
        <f>BedDemand!AI10*Assumptions!$C$91</f>
        <v/>
      </c>
      <c r="AJ7" s="73">
        <f>BedDemand!AJ10*Assumptions!$C$91</f>
        <v/>
      </c>
      <c r="AK7" s="73">
        <f>BedDemand!AK10*Assumptions!$C$91</f>
        <v/>
      </c>
      <c r="AL7" s="73">
        <f>BedDemand!AL10*Assumptions!$C$91</f>
        <v/>
      </c>
      <c r="AM7" s="73">
        <f>BedDemand!AM10*Assumptions!$C$91</f>
        <v/>
      </c>
      <c r="AN7" s="73">
        <f>BedDemand!AN10*Assumptions!$C$91</f>
        <v/>
      </c>
      <c r="AP7" s="72">
        <f>SUM(C7:AN7)</f>
        <v/>
      </c>
    </row>
    <row r="8">
      <c r="B8" s="4" t="inlineStr">
        <is>
          <t>Catering</t>
        </is>
      </c>
      <c r="C8" s="73">
        <f>ROUND(BedDemand!C10*Assumptions!$C$92*30.4,0)</f>
        <v/>
      </c>
      <c r="D8" s="73">
        <f>ROUND(BedDemand!D10*Assumptions!$C$92*30.4,0)</f>
        <v/>
      </c>
      <c r="E8" s="73">
        <f>ROUND(BedDemand!E10*Assumptions!$C$92*30.4,0)</f>
        <v/>
      </c>
      <c r="F8" s="73">
        <f>ROUND(BedDemand!F10*Assumptions!$C$92*30.4,0)</f>
        <v/>
      </c>
      <c r="G8" s="73">
        <f>ROUND(BedDemand!G10*Assumptions!$C$92*30.4,0)</f>
        <v/>
      </c>
      <c r="H8" s="73">
        <f>ROUND(BedDemand!H10*Assumptions!$C$92*30.4,0)</f>
        <v/>
      </c>
      <c r="I8" s="73">
        <f>ROUND(BedDemand!I10*Assumptions!$C$92*30.4,0)</f>
        <v/>
      </c>
      <c r="J8" s="73">
        <f>ROUND(BedDemand!J10*Assumptions!$C$92*30.4,0)</f>
        <v/>
      </c>
      <c r="K8" s="73">
        <f>ROUND(BedDemand!K10*Assumptions!$C$92*30.4,0)</f>
        <v/>
      </c>
      <c r="L8" s="73">
        <f>ROUND(BedDemand!L10*Assumptions!$C$92*30.4,0)</f>
        <v/>
      </c>
      <c r="M8" s="73">
        <f>ROUND(BedDemand!M10*Assumptions!$C$92*30.4,0)</f>
        <v/>
      </c>
      <c r="N8" s="73">
        <f>ROUND(BedDemand!N10*Assumptions!$C$92*30.4,0)</f>
        <v/>
      </c>
      <c r="O8" s="73">
        <f>ROUND(BedDemand!O10*Assumptions!$C$92*30.4,0)</f>
        <v/>
      </c>
      <c r="P8" s="73">
        <f>ROUND(BedDemand!P10*Assumptions!$C$92*30.4,0)</f>
        <v/>
      </c>
      <c r="Q8" s="73">
        <f>ROUND(BedDemand!Q10*Assumptions!$C$92*30.4,0)</f>
        <v/>
      </c>
      <c r="R8" s="73">
        <f>ROUND(BedDemand!R10*Assumptions!$C$92*30.4,0)</f>
        <v/>
      </c>
      <c r="S8" s="73">
        <f>ROUND(BedDemand!S10*Assumptions!$C$92*30.4,0)</f>
        <v/>
      </c>
      <c r="T8" s="73">
        <f>ROUND(BedDemand!T10*Assumptions!$C$92*30.4,0)</f>
        <v/>
      </c>
      <c r="U8" s="73">
        <f>ROUND(BedDemand!U10*Assumptions!$C$92*30.4,0)</f>
        <v/>
      </c>
      <c r="V8" s="73">
        <f>ROUND(BedDemand!V10*Assumptions!$C$92*30.4,0)</f>
        <v/>
      </c>
      <c r="W8" s="73">
        <f>ROUND(BedDemand!W10*Assumptions!$C$92*30.4,0)</f>
        <v/>
      </c>
      <c r="X8" s="73">
        <f>ROUND(BedDemand!X10*Assumptions!$C$92*30.4,0)</f>
        <v/>
      </c>
      <c r="Y8" s="73">
        <f>ROUND(BedDemand!Y10*Assumptions!$C$92*30.4,0)</f>
        <v/>
      </c>
      <c r="Z8" s="73">
        <f>ROUND(BedDemand!Z10*Assumptions!$C$92*30.4,0)</f>
        <v/>
      </c>
      <c r="AA8" s="73">
        <f>ROUND(BedDemand!AA10*Assumptions!$C$92*30.4,0)</f>
        <v/>
      </c>
      <c r="AB8" s="73">
        <f>ROUND(BedDemand!AB10*Assumptions!$C$92*30.4,0)</f>
        <v/>
      </c>
      <c r="AC8" s="73">
        <f>ROUND(BedDemand!AC10*Assumptions!$C$92*30.4,0)</f>
        <v/>
      </c>
      <c r="AD8" s="73">
        <f>ROUND(BedDemand!AD10*Assumptions!$C$92*30.4,0)</f>
        <v/>
      </c>
      <c r="AE8" s="73">
        <f>ROUND(BedDemand!AE10*Assumptions!$C$92*30.4,0)</f>
        <v/>
      </c>
      <c r="AF8" s="73">
        <f>ROUND(BedDemand!AF10*Assumptions!$C$92*30.4,0)</f>
        <v/>
      </c>
      <c r="AG8" s="73">
        <f>ROUND(BedDemand!AG10*Assumptions!$C$92*30.4,0)</f>
        <v/>
      </c>
      <c r="AH8" s="73">
        <f>ROUND(BedDemand!AH10*Assumptions!$C$92*30.4,0)</f>
        <v/>
      </c>
      <c r="AI8" s="73">
        <f>ROUND(BedDemand!AI10*Assumptions!$C$92*30.4,0)</f>
        <v/>
      </c>
      <c r="AJ8" s="73">
        <f>ROUND(BedDemand!AJ10*Assumptions!$C$92*30.4,0)</f>
        <v/>
      </c>
      <c r="AK8" s="73">
        <f>ROUND(BedDemand!AK10*Assumptions!$C$92*30.4,0)</f>
        <v/>
      </c>
      <c r="AL8" s="73">
        <f>ROUND(BedDemand!AL10*Assumptions!$C$92*30.4,0)</f>
        <v/>
      </c>
      <c r="AM8" s="73">
        <f>ROUND(BedDemand!AM10*Assumptions!$C$92*30.4,0)</f>
        <v/>
      </c>
      <c r="AN8" s="73">
        <f>ROUND(BedDemand!AN10*Assumptions!$C$92*30.4,0)</f>
        <v/>
      </c>
      <c r="AP8" s="72">
        <f>SUM(C8:AN8)</f>
        <v/>
      </c>
    </row>
    <row r="9">
      <c r="B9" s="4" t="inlineStr">
        <is>
          <t>Housekeeping and laundry</t>
        </is>
      </c>
      <c r="C9" s="73">
        <f>BedDemand!C14*Assumptions!$C$93</f>
        <v/>
      </c>
      <c r="D9" s="73">
        <f>BedDemand!D14*Assumptions!$C$93</f>
        <v/>
      </c>
      <c r="E9" s="73">
        <f>BedDemand!E14*Assumptions!$C$93</f>
        <v/>
      </c>
      <c r="F9" s="73">
        <f>BedDemand!F14*Assumptions!$C$93</f>
        <v/>
      </c>
      <c r="G9" s="73">
        <f>BedDemand!G14*Assumptions!$C$93</f>
        <v/>
      </c>
      <c r="H9" s="73">
        <f>BedDemand!H14*Assumptions!$C$93</f>
        <v/>
      </c>
      <c r="I9" s="73">
        <f>BedDemand!I14*Assumptions!$C$93</f>
        <v/>
      </c>
      <c r="J9" s="73">
        <f>BedDemand!J14*Assumptions!$C$93</f>
        <v/>
      </c>
      <c r="K9" s="73">
        <f>BedDemand!K14*Assumptions!$C$93</f>
        <v/>
      </c>
      <c r="L9" s="73">
        <f>BedDemand!L14*Assumptions!$C$93</f>
        <v/>
      </c>
      <c r="M9" s="73">
        <f>BedDemand!M14*Assumptions!$C$93</f>
        <v/>
      </c>
      <c r="N9" s="73">
        <f>BedDemand!N14*Assumptions!$C$93</f>
        <v/>
      </c>
      <c r="O9" s="73">
        <f>BedDemand!O14*Assumptions!$C$93</f>
        <v/>
      </c>
      <c r="P9" s="73">
        <f>BedDemand!P14*Assumptions!$C$93</f>
        <v/>
      </c>
      <c r="Q9" s="73">
        <f>BedDemand!Q14*Assumptions!$C$93</f>
        <v/>
      </c>
      <c r="R9" s="73">
        <f>BedDemand!R14*Assumptions!$C$93</f>
        <v/>
      </c>
      <c r="S9" s="73">
        <f>BedDemand!S14*Assumptions!$C$93</f>
        <v/>
      </c>
      <c r="T9" s="73">
        <f>BedDemand!T14*Assumptions!$C$93</f>
        <v/>
      </c>
      <c r="U9" s="73">
        <f>BedDemand!U14*Assumptions!$C$93</f>
        <v/>
      </c>
      <c r="V9" s="73">
        <f>BedDemand!V14*Assumptions!$C$93</f>
        <v/>
      </c>
      <c r="W9" s="73">
        <f>BedDemand!W14*Assumptions!$C$93</f>
        <v/>
      </c>
      <c r="X9" s="73">
        <f>BedDemand!X14*Assumptions!$C$93</f>
        <v/>
      </c>
      <c r="Y9" s="73">
        <f>BedDemand!Y14*Assumptions!$C$93</f>
        <v/>
      </c>
      <c r="Z9" s="73">
        <f>BedDemand!Z14*Assumptions!$C$93</f>
        <v/>
      </c>
      <c r="AA9" s="73">
        <f>BedDemand!AA14*Assumptions!$C$93</f>
        <v/>
      </c>
      <c r="AB9" s="73">
        <f>BedDemand!AB14*Assumptions!$C$93</f>
        <v/>
      </c>
      <c r="AC9" s="73">
        <f>BedDemand!AC14*Assumptions!$C$93</f>
        <v/>
      </c>
      <c r="AD9" s="73">
        <f>BedDemand!AD14*Assumptions!$C$93</f>
        <v/>
      </c>
      <c r="AE9" s="73">
        <f>BedDemand!AE14*Assumptions!$C$93</f>
        <v/>
      </c>
      <c r="AF9" s="73">
        <f>BedDemand!AF14*Assumptions!$C$93</f>
        <v/>
      </c>
      <c r="AG9" s="73">
        <f>BedDemand!AG14*Assumptions!$C$93</f>
        <v/>
      </c>
      <c r="AH9" s="73">
        <f>BedDemand!AH14*Assumptions!$C$93</f>
        <v/>
      </c>
      <c r="AI9" s="73">
        <f>BedDemand!AI14*Assumptions!$C$93</f>
        <v/>
      </c>
      <c r="AJ9" s="73">
        <f>BedDemand!AJ14*Assumptions!$C$93</f>
        <v/>
      </c>
      <c r="AK9" s="73">
        <f>BedDemand!AK14*Assumptions!$C$93</f>
        <v/>
      </c>
      <c r="AL9" s="73">
        <f>BedDemand!AL14*Assumptions!$C$93</f>
        <v/>
      </c>
      <c r="AM9" s="73">
        <f>BedDemand!AM14*Assumptions!$C$93</f>
        <v/>
      </c>
      <c r="AN9" s="73">
        <f>BedDemand!AN14*Assumptions!$C$93</f>
        <v/>
      </c>
      <c r="AP9" s="72">
        <f>SUM(C9:AN9)</f>
        <v/>
      </c>
    </row>
    <row r="10">
      <c r="B10" s="4" t="inlineStr">
        <is>
          <t>Village staff</t>
        </is>
      </c>
      <c r="C10" s="73">
        <f>ROUND(VillageStaff!C19*Assumptions!$C$95,0)</f>
        <v/>
      </c>
      <c r="D10" s="73">
        <f>ROUND(VillageStaff!D19*Assumptions!$C$95,0)</f>
        <v/>
      </c>
      <c r="E10" s="73">
        <f>ROUND(VillageStaff!E19*Assumptions!$C$95,0)</f>
        <v/>
      </c>
      <c r="F10" s="73">
        <f>ROUND(VillageStaff!F19*Assumptions!$C$95,0)</f>
        <v/>
      </c>
      <c r="G10" s="73">
        <f>ROUND(VillageStaff!G19*Assumptions!$C$95,0)</f>
        <v/>
      </c>
      <c r="H10" s="73">
        <f>ROUND(VillageStaff!H19*Assumptions!$C$95,0)</f>
        <v/>
      </c>
      <c r="I10" s="73">
        <f>ROUND(VillageStaff!I19*Assumptions!$C$95,0)</f>
        <v/>
      </c>
      <c r="J10" s="73">
        <f>ROUND(VillageStaff!J19*Assumptions!$C$95,0)</f>
        <v/>
      </c>
      <c r="K10" s="73">
        <f>ROUND(VillageStaff!K19*Assumptions!$C$95,0)</f>
        <v/>
      </c>
      <c r="L10" s="73">
        <f>ROUND(VillageStaff!L19*Assumptions!$C$95,0)</f>
        <v/>
      </c>
      <c r="M10" s="73">
        <f>ROUND(VillageStaff!M19*Assumptions!$C$95,0)</f>
        <v/>
      </c>
      <c r="N10" s="73">
        <f>ROUND(VillageStaff!N19*Assumptions!$C$95,0)</f>
        <v/>
      </c>
      <c r="O10" s="73">
        <f>ROUND(VillageStaff!O19*Assumptions!$C$95,0)</f>
        <v/>
      </c>
      <c r="P10" s="73">
        <f>ROUND(VillageStaff!P19*Assumptions!$C$95,0)</f>
        <v/>
      </c>
      <c r="Q10" s="73">
        <f>ROUND(VillageStaff!Q19*Assumptions!$C$95,0)</f>
        <v/>
      </c>
      <c r="R10" s="73">
        <f>ROUND(VillageStaff!R19*Assumptions!$C$95,0)</f>
        <v/>
      </c>
      <c r="S10" s="73">
        <f>ROUND(VillageStaff!S19*Assumptions!$C$95,0)</f>
        <v/>
      </c>
      <c r="T10" s="73">
        <f>ROUND(VillageStaff!T19*Assumptions!$C$95,0)</f>
        <v/>
      </c>
      <c r="U10" s="73">
        <f>ROUND(VillageStaff!U19*Assumptions!$C$95,0)</f>
        <v/>
      </c>
      <c r="V10" s="73">
        <f>ROUND(VillageStaff!V19*Assumptions!$C$95,0)</f>
        <v/>
      </c>
      <c r="W10" s="73">
        <f>ROUND(VillageStaff!W19*Assumptions!$C$95,0)</f>
        <v/>
      </c>
      <c r="X10" s="73">
        <f>ROUND(VillageStaff!X19*Assumptions!$C$95,0)</f>
        <v/>
      </c>
      <c r="Y10" s="73">
        <f>ROUND(VillageStaff!Y19*Assumptions!$C$95,0)</f>
        <v/>
      </c>
      <c r="Z10" s="73">
        <f>ROUND(VillageStaff!Z19*Assumptions!$C$95,0)</f>
        <v/>
      </c>
      <c r="AA10" s="73">
        <f>ROUND(VillageStaff!AA19*Assumptions!$C$95,0)</f>
        <v/>
      </c>
      <c r="AB10" s="73">
        <f>ROUND(VillageStaff!AB19*Assumptions!$C$95,0)</f>
        <v/>
      </c>
      <c r="AC10" s="73">
        <f>ROUND(VillageStaff!AC19*Assumptions!$C$95,0)</f>
        <v/>
      </c>
      <c r="AD10" s="73">
        <f>ROUND(VillageStaff!AD19*Assumptions!$C$95,0)</f>
        <v/>
      </c>
      <c r="AE10" s="73">
        <f>ROUND(VillageStaff!AE19*Assumptions!$C$95,0)</f>
        <v/>
      </c>
      <c r="AF10" s="73">
        <f>ROUND(VillageStaff!AF19*Assumptions!$C$95,0)</f>
        <v/>
      </c>
      <c r="AG10" s="73">
        <f>ROUND(VillageStaff!AG19*Assumptions!$C$95,0)</f>
        <v/>
      </c>
      <c r="AH10" s="73">
        <f>ROUND(VillageStaff!AH19*Assumptions!$C$95,0)</f>
        <v/>
      </c>
      <c r="AI10" s="73">
        <f>ROUND(VillageStaff!AI19*Assumptions!$C$95,0)</f>
        <v/>
      </c>
      <c r="AJ10" s="73">
        <f>ROUND(VillageStaff!AJ19*Assumptions!$C$95,0)</f>
        <v/>
      </c>
      <c r="AK10" s="73">
        <f>ROUND(VillageStaff!AK19*Assumptions!$C$95,0)</f>
        <v/>
      </c>
      <c r="AL10" s="73">
        <f>ROUND(VillageStaff!AL19*Assumptions!$C$95,0)</f>
        <v/>
      </c>
      <c r="AM10" s="73">
        <f>ROUND(VillageStaff!AM19*Assumptions!$C$95,0)</f>
        <v/>
      </c>
      <c r="AN10" s="73">
        <f>ROUND(VillageStaff!AN19*Assumptions!$C$95,0)</f>
        <v/>
      </c>
      <c r="AP10" s="72">
        <f>SUM(C10:AN10)</f>
        <v/>
      </c>
    </row>
    <row r="11">
      <c r="B11" s="4" t="inlineStr">
        <is>
          <t>Transport</t>
        </is>
      </c>
      <c r="C11" s="73">
        <f>Transport!C11*Assumptions!$C$94</f>
        <v/>
      </c>
      <c r="D11" s="73">
        <f>Transport!D11*Assumptions!$C$94</f>
        <v/>
      </c>
      <c r="E11" s="73">
        <f>Transport!E11*Assumptions!$C$94</f>
        <v/>
      </c>
      <c r="F11" s="73">
        <f>Transport!F11*Assumptions!$C$94</f>
        <v/>
      </c>
      <c r="G11" s="73">
        <f>Transport!G11*Assumptions!$C$94</f>
        <v/>
      </c>
      <c r="H11" s="73">
        <f>Transport!H11*Assumptions!$C$94</f>
        <v/>
      </c>
      <c r="I11" s="73">
        <f>Transport!I11*Assumptions!$C$94</f>
        <v/>
      </c>
      <c r="J11" s="73">
        <f>Transport!J11*Assumptions!$C$94</f>
        <v/>
      </c>
      <c r="K11" s="73">
        <f>Transport!K11*Assumptions!$C$94</f>
        <v/>
      </c>
      <c r="L11" s="73">
        <f>Transport!L11*Assumptions!$C$94</f>
        <v/>
      </c>
      <c r="M11" s="73">
        <f>Transport!M11*Assumptions!$C$94</f>
        <v/>
      </c>
      <c r="N11" s="73">
        <f>Transport!N11*Assumptions!$C$94</f>
        <v/>
      </c>
      <c r="O11" s="73">
        <f>Transport!O11*Assumptions!$C$94</f>
        <v/>
      </c>
      <c r="P11" s="73">
        <f>Transport!P11*Assumptions!$C$94</f>
        <v/>
      </c>
      <c r="Q11" s="73">
        <f>Transport!Q11*Assumptions!$C$94</f>
        <v/>
      </c>
      <c r="R11" s="73">
        <f>Transport!R11*Assumptions!$C$94</f>
        <v/>
      </c>
      <c r="S11" s="73">
        <f>Transport!S11*Assumptions!$C$94</f>
        <v/>
      </c>
      <c r="T11" s="73">
        <f>Transport!T11*Assumptions!$C$94</f>
        <v/>
      </c>
      <c r="U11" s="73">
        <f>Transport!U11*Assumptions!$C$94</f>
        <v/>
      </c>
      <c r="V11" s="73">
        <f>Transport!V11*Assumptions!$C$94</f>
        <v/>
      </c>
      <c r="W11" s="73">
        <f>Transport!W11*Assumptions!$C$94</f>
        <v/>
      </c>
      <c r="X11" s="73">
        <f>Transport!X11*Assumptions!$C$94</f>
        <v/>
      </c>
      <c r="Y11" s="73">
        <f>Transport!Y11*Assumptions!$C$94</f>
        <v/>
      </c>
      <c r="Z11" s="73">
        <f>Transport!Z11*Assumptions!$C$94</f>
        <v/>
      </c>
      <c r="AA11" s="73">
        <f>Transport!AA11*Assumptions!$C$94</f>
        <v/>
      </c>
      <c r="AB11" s="73">
        <f>Transport!AB11*Assumptions!$C$94</f>
        <v/>
      </c>
      <c r="AC11" s="73">
        <f>Transport!AC11*Assumptions!$C$94</f>
        <v/>
      </c>
      <c r="AD11" s="73">
        <f>Transport!AD11*Assumptions!$C$94</f>
        <v/>
      </c>
      <c r="AE11" s="73">
        <f>Transport!AE11*Assumptions!$C$94</f>
        <v/>
      </c>
      <c r="AF11" s="73">
        <f>Transport!AF11*Assumptions!$C$94</f>
        <v/>
      </c>
      <c r="AG11" s="73">
        <f>Transport!AG11*Assumptions!$C$94</f>
        <v/>
      </c>
      <c r="AH11" s="73">
        <f>Transport!AH11*Assumptions!$C$94</f>
        <v/>
      </c>
      <c r="AI11" s="73">
        <f>Transport!AI11*Assumptions!$C$94</f>
        <v/>
      </c>
      <c r="AJ11" s="73">
        <f>Transport!AJ11*Assumptions!$C$94</f>
        <v/>
      </c>
      <c r="AK11" s="73">
        <f>Transport!AK11*Assumptions!$C$94</f>
        <v/>
      </c>
      <c r="AL11" s="73">
        <f>Transport!AL11*Assumptions!$C$94</f>
        <v/>
      </c>
      <c r="AM11" s="73">
        <f>Transport!AM11*Assumptions!$C$94</f>
        <v/>
      </c>
      <c r="AN11" s="73">
        <f>Transport!AN11*Assumptions!$C$94</f>
        <v/>
      </c>
      <c r="AP11" s="72">
        <f>SUM(C11:AN11)</f>
        <v/>
      </c>
    </row>
    <row r="12">
      <c r="B12" s="4" t="inlineStr">
        <is>
          <t>Maintenance and consumables</t>
        </is>
      </c>
      <c r="C12" s="73">
        <f>BedDemand!C14*Assumptions!$C$97</f>
        <v/>
      </c>
      <c r="D12" s="73">
        <f>BedDemand!D14*Assumptions!$C$97</f>
        <v/>
      </c>
      <c r="E12" s="73">
        <f>BedDemand!E14*Assumptions!$C$97</f>
        <v/>
      </c>
      <c r="F12" s="73">
        <f>BedDemand!F14*Assumptions!$C$97</f>
        <v/>
      </c>
      <c r="G12" s="73">
        <f>BedDemand!G14*Assumptions!$C$97</f>
        <v/>
      </c>
      <c r="H12" s="73">
        <f>BedDemand!H14*Assumptions!$C$97</f>
        <v/>
      </c>
      <c r="I12" s="73">
        <f>BedDemand!I14*Assumptions!$C$97</f>
        <v/>
      </c>
      <c r="J12" s="73">
        <f>BedDemand!J14*Assumptions!$C$97</f>
        <v/>
      </c>
      <c r="K12" s="73">
        <f>BedDemand!K14*Assumptions!$C$97</f>
        <v/>
      </c>
      <c r="L12" s="73">
        <f>BedDemand!L14*Assumptions!$C$97</f>
        <v/>
      </c>
      <c r="M12" s="73">
        <f>BedDemand!M14*Assumptions!$C$97</f>
        <v/>
      </c>
      <c r="N12" s="73">
        <f>BedDemand!N14*Assumptions!$C$97</f>
        <v/>
      </c>
      <c r="O12" s="73">
        <f>BedDemand!O14*Assumptions!$C$97</f>
        <v/>
      </c>
      <c r="P12" s="73">
        <f>BedDemand!P14*Assumptions!$C$97</f>
        <v/>
      </c>
      <c r="Q12" s="73">
        <f>BedDemand!Q14*Assumptions!$C$97</f>
        <v/>
      </c>
      <c r="R12" s="73">
        <f>BedDemand!R14*Assumptions!$C$97</f>
        <v/>
      </c>
      <c r="S12" s="73">
        <f>BedDemand!S14*Assumptions!$C$97</f>
        <v/>
      </c>
      <c r="T12" s="73">
        <f>BedDemand!T14*Assumptions!$C$97</f>
        <v/>
      </c>
      <c r="U12" s="73">
        <f>BedDemand!U14*Assumptions!$C$97</f>
        <v/>
      </c>
      <c r="V12" s="73">
        <f>BedDemand!V14*Assumptions!$C$97</f>
        <v/>
      </c>
      <c r="W12" s="73">
        <f>BedDemand!W14*Assumptions!$C$97</f>
        <v/>
      </c>
      <c r="X12" s="73">
        <f>BedDemand!X14*Assumptions!$C$97</f>
        <v/>
      </c>
      <c r="Y12" s="73">
        <f>BedDemand!Y14*Assumptions!$C$97</f>
        <v/>
      </c>
      <c r="Z12" s="73">
        <f>BedDemand!Z14*Assumptions!$C$97</f>
        <v/>
      </c>
      <c r="AA12" s="73">
        <f>BedDemand!AA14*Assumptions!$C$97</f>
        <v/>
      </c>
      <c r="AB12" s="73">
        <f>BedDemand!AB14*Assumptions!$C$97</f>
        <v/>
      </c>
      <c r="AC12" s="73">
        <f>BedDemand!AC14*Assumptions!$C$97</f>
        <v/>
      </c>
      <c r="AD12" s="73">
        <f>BedDemand!AD14*Assumptions!$C$97</f>
        <v/>
      </c>
      <c r="AE12" s="73">
        <f>BedDemand!AE14*Assumptions!$C$97</f>
        <v/>
      </c>
      <c r="AF12" s="73">
        <f>BedDemand!AF14*Assumptions!$C$97</f>
        <v/>
      </c>
      <c r="AG12" s="73">
        <f>BedDemand!AG14*Assumptions!$C$97</f>
        <v/>
      </c>
      <c r="AH12" s="73">
        <f>BedDemand!AH14*Assumptions!$C$97</f>
        <v/>
      </c>
      <c r="AI12" s="73">
        <f>BedDemand!AI14*Assumptions!$C$97</f>
        <v/>
      </c>
      <c r="AJ12" s="73">
        <f>BedDemand!AJ14*Assumptions!$C$97</f>
        <v/>
      </c>
      <c r="AK12" s="73">
        <f>BedDemand!AK14*Assumptions!$C$97</f>
        <v/>
      </c>
      <c r="AL12" s="73">
        <f>BedDemand!AL14*Assumptions!$C$97</f>
        <v/>
      </c>
      <c r="AM12" s="73">
        <f>BedDemand!AM14*Assumptions!$C$97</f>
        <v/>
      </c>
      <c r="AN12" s="73">
        <f>BedDemand!AN14*Assumptions!$C$97</f>
        <v/>
      </c>
      <c r="AP12" s="72">
        <f>SUM(C12:AN12)</f>
        <v/>
      </c>
    </row>
    <row r="13">
      <c r="B13" s="4" t="inlineStr">
        <is>
          <t>Insurance, licences and rates</t>
        </is>
      </c>
      <c r="C13" s="73">
        <f>IF(BedDemand!C10&gt;0,Assumptions!$C$96,0)</f>
        <v/>
      </c>
      <c r="D13" s="73">
        <f>IF(BedDemand!D10&gt;0,Assumptions!$C$96,0)</f>
        <v/>
      </c>
      <c r="E13" s="73">
        <f>IF(BedDemand!E10&gt;0,Assumptions!$C$96,0)</f>
        <v/>
      </c>
      <c r="F13" s="73">
        <f>IF(BedDemand!F10&gt;0,Assumptions!$C$96,0)</f>
        <v/>
      </c>
      <c r="G13" s="73">
        <f>IF(BedDemand!G10&gt;0,Assumptions!$C$96,0)</f>
        <v/>
      </c>
      <c r="H13" s="73">
        <f>IF(BedDemand!H10&gt;0,Assumptions!$C$96,0)</f>
        <v/>
      </c>
      <c r="I13" s="73">
        <f>IF(BedDemand!I10&gt;0,Assumptions!$C$96,0)</f>
        <v/>
      </c>
      <c r="J13" s="73">
        <f>IF(BedDemand!J10&gt;0,Assumptions!$C$96,0)</f>
        <v/>
      </c>
      <c r="K13" s="73">
        <f>IF(BedDemand!K10&gt;0,Assumptions!$C$96,0)</f>
        <v/>
      </c>
      <c r="L13" s="73">
        <f>IF(BedDemand!L10&gt;0,Assumptions!$C$96,0)</f>
        <v/>
      </c>
      <c r="M13" s="73">
        <f>IF(BedDemand!M10&gt;0,Assumptions!$C$96,0)</f>
        <v/>
      </c>
      <c r="N13" s="73">
        <f>IF(BedDemand!N10&gt;0,Assumptions!$C$96,0)</f>
        <v/>
      </c>
      <c r="O13" s="73">
        <f>IF(BedDemand!O10&gt;0,Assumptions!$C$96,0)</f>
        <v/>
      </c>
      <c r="P13" s="73">
        <f>IF(BedDemand!P10&gt;0,Assumptions!$C$96,0)</f>
        <v/>
      </c>
      <c r="Q13" s="73">
        <f>IF(BedDemand!Q10&gt;0,Assumptions!$C$96,0)</f>
        <v/>
      </c>
      <c r="R13" s="73">
        <f>IF(BedDemand!R10&gt;0,Assumptions!$C$96,0)</f>
        <v/>
      </c>
      <c r="S13" s="73">
        <f>IF(BedDemand!S10&gt;0,Assumptions!$C$96,0)</f>
        <v/>
      </c>
      <c r="T13" s="73">
        <f>IF(BedDemand!T10&gt;0,Assumptions!$C$96,0)</f>
        <v/>
      </c>
      <c r="U13" s="73">
        <f>IF(BedDemand!U10&gt;0,Assumptions!$C$96,0)</f>
        <v/>
      </c>
      <c r="V13" s="73">
        <f>IF(BedDemand!V10&gt;0,Assumptions!$C$96,0)</f>
        <v/>
      </c>
      <c r="W13" s="73">
        <f>IF(BedDemand!W10&gt;0,Assumptions!$C$96,0)</f>
        <v/>
      </c>
      <c r="X13" s="73">
        <f>IF(BedDemand!X10&gt;0,Assumptions!$C$96,0)</f>
        <v/>
      </c>
      <c r="Y13" s="73">
        <f>IF(BedDemand!Y10&gt;0,Assumptions!$C$96,0)</f>
        <v/>
      </c>
      <c r="Z13" s="73">
        <f>IF(BedDemand!Z10&gt;0,Assumptions!$C$96,0)</f>
        <v/>
      </c>
      <c r="AA13" s="73">
        <f>IF(BedDemand!AA10&gt;0,Assumptions!$C$96,0)</f>
        <v/>
      </c>
      <c r="AB13" s="73">
        <f>IF(BedDemand!AB10&gt;0,Assumptions!$C$96,0)</f>
        <v/>
      </c>
      <c r="AC13" s="73">
        <f>IF(BedDemand!AC10&gt;0,Assumptions!$C$96,0)</f>
        <v/>
      </c>
      <c r="AD13" s="73">
        <f>IF(BedDemand!AD10&gt;0,Assumptions!$C$96,0)</f>
        <v/>
      </c>
      <c r="AE13" s="73">
        <f>IF(BedDemand!AE10&gt;0,Assumptions!$C$96,0)</f>
        <v/>
      </c>
      <c r="AF13" s="73">
        <f>IF(BedDemand!AF10&gt;0,Assumptions!$C$96,0)</f>
        <v/>
      </c>
      <c r="AG13" s="73">
        <f>IF(BedDemand!AG10&gt;0,Assumptions!$C$96,0)</f>
        <v/>
      </c>
      <c r="AH13" s="73">
        <f>IF(BedDemand!AH10&gt;0,Assumptions!$C$96,0)</f>
        <v/>
      </c>
      <c r="AI13" s="73">
        <f>IF(BedDemand!AI10&gt;0,Assumptions!$C$96,0)</f>
        <v/>
      </c>
      <c r="AJ13" s="73">
        <f>IF(BedDemand!AJ10&gt;0,Assumptions!$C$96,0)</f>
        <v/>
      </c>
      <c r="AK13" s="73">
        <f>IF(BedDemand!AK10&gt;0,Assumptions!$C$96,0)</f>
        <v/>
      </c>
      <c r="AL13" s="73">
        <f>IF(BedDemand!AL10&gt;0,Assumptions!$C$96,0)</f>
        <v/>
      </c>
      <c r="AM13" s="73">
        <f>IF(BedDemand!AM10&gt;0,Assumptions!$C$96,0)</f>
        <v/>
      </c>
      <c r="AN13" s="73">
        <f>IF(BedDemand!AN10&gt;0,Assumptions!$C$96,0)</f>
        <v/>
      </c>
      <c r="AP13" s="72">
        <f>SUM(C13:AN13)</f>
        <v/>
      </c>
    </row>
    <row r="14">
      <c r="B14" s="6" t="inlineStr">
        <is>
          <t>TOTAL MONTHLY OPEX</t>
        </is>
      </c>
      <c r="C14" s="72">
        <f>SUM(C6:C13)</f>
        <v/>
      </c>
      <c r="D14" s="72">
        <f>SUM(D6:D13)</f>
        <v/>
      </c>
      <c r="E14" s="72">
        <f>SUM(E6:E13)</f>
        <v/>
      </c>
      <c r="F14" s="72">
        <f>SUM(F6:F13)</f>
        <v/>
      </c>
      <c r="G14" s="72">
        <f>SUM(G6:G13)</f>
        <v/>
      </c>
      <c r="H14" s="72">
        <f>SUM(H6:H13)</f>
        <v/>
      </c>
      <c r="I14" s="72">
        <f>SUM(I6:I13)</f>
        <v/>
      </c>
      <c r="J14" s="72">
        <f>SUM(J6:J13)</f>
        <v/>
      </c>
      <c r="K14" s="72">
        <f>SUM(K6:K13)</f>
        <v/>
      </c>
      <c r="L14" s="72">
        <f>SUM(L6:L13)</f>
        <v/>
      </c>
      <c r="M14" s="72">
        <f>SUM(M6:M13)</f>
        <v/>
      </c>
      <c r="N14" s="72">
        <f>SUM(N6:N13)</f>
        <v/>
      </c>
      <c r="O14" s="72">
        <f>SUM(O6:O13)</f>
        <v/>
      </c>
      <c r="P14" s="72">
        <f>SUM(P6:P13)</f>
        <v/>
      </c>
      <c r="Q14" s="72">
        <f>SUM(Q6:Q13)</f>
        <v/>
      </c>
      <c r="R14" s="72">
        <f>SUM(R6:R13)</f>
        <v/>
      </c>
      <c r="S14" s="72">
        <f>SUM(S6:S13)</f>
        <v/>
      </c>
      <c r="T14" s="72">
        <f>SUM(T6:T13)</f>
        <v/>
      </c>
      <c r="U14" s="72">
        <f>SUM(U6:U13)</f>
        <v/>
      </c>
      <c r="V14" s="72">
        <f>SUM(V6:V13)</f>
        <v/>
      </c>
      <c r="W14" s="72">
        <f>SUM(W6:W13)</f>
        <v/>
      </c>
      <c r="X14" s="72">
        <f>SUM(X6:X13)</f>
        <v/>
      </c>
      <c r="Y14" s="72">
        <f>SUM(Y6:Y13)</f>
        <v/>
      </c>
      <c r="Z14" s="72">
        <f>SUM(Z6:Z13)</f>
        <v/>
      </c>
      <c r="AA14" s="72">
        <f>SUM(AA6:AA13)</f>
        <v/>
      </c>
      <c r="AB14" s="72">
        <f>SUM(AB6:AB13)</f>
        <v/>
      </c>
      <c r="AC14" s="72">
        <f>SUM(AC6:AC13)</f>
        <v/>
      </c>
      <c r="AD14" s="72">
        <f>SUM(AD6:AD13)</f>
        <v/>
      </c>
      <c r="AE14" s="72">
        <f>SUM(AE6:AE13)</f>
        <v/>
      </c>
      <c r="AF14" s="72">
        <f>SUM(AF6:AF13)</f>
        <v/>
      </c>
      <c r="AG14" s="72">
        <f>SUM(AG6:AG13)</f>
        <v/>
      </c>
      <c r="AH14" s="72">
        <f>SUM(AH6:AH13)</f>
        <v/>
      </c>
      <c r="AI14" s="72">
        <f>SUM(AI6:AI13)</f>
        <v/>
      </c>
      <c r="AJ14" s="72">
        <f>SUM(AJ6:AJ13)</f>
        <v/>
      </c>
      <c r="AK14" s="72">
        <f>SUM(AK6:AK13)</f>
        <v/>
      </c>
      <c r="AL14" s="72">
        <f>SUM(AL6:AL13)</f>
        <v/>
      </c>
      <c r="AM14" s="72">
        <f>SUM(AM6:AM13)</f>
        <v/>
      </c>
      <c r="AN14" s="72">
        <f>SUM(AN6:AN13)</f>
        <v/>
      </c>
      <c r="AP14" s="74">
        <f>SUM(C14:AN14)</f>
        <v/>
      </c>
    </row>
    <row r="15">
      <c r="B15" s="4" t="inlineStr">
        <is>
          <t>Cost per occupied bed-night</t>
        </is>
      </c>
      <c r="C15" s="75">
        <f>IFERROR(C14/(BedDemand!C10*30.4),0)</f>
        <v/>
      </c>
      <c r="D15" s="75">
        <f>IFERROR(D14/(BedDemand!D10*30.4),0)</f>
        <v/>
      </c>
      <c r="E15" s="75">
        <f>IFERROR(E14/(BedDemand!E10*30.4),0)</f>
        <v/>
      </c>
      <c r="F15" s="75">
        <f>IFERROR(F14/(BedDemand!F10*30.4),0)</f>
        <v/>
      </c>
      <c r="G15" s="75">
        <f>IFERROR(G14/(BedDemand!G10*30.4),0)</f>
        <v/>
      </c>
      <c r="H15" s="75">
        <f>IFERROR(H14/(BedDemand!H10*30.4),0)</f>
        <v/>
      </c>
      <c r="I15" s="75">
        <f>IFERROR(I14/(BedDemand!I10*30.4),0)</f>
        <v/>
      </c>
      <c r="J15" s="75">
        <f>IFERROR(J14/(BedDemand!J10*30.4),0)</f>
        <v/>
      </c>
      <c r="K15" s="75">
        <f>IFERROR(K14/(BedDemand!K10*30.4),0)</f>
        <v/>
      </c>
      <c r="L15" s="75">
        <f>IFERROR(L14/(BedDemand!L10*30.4),0)</f>
        <v/>
      </c>
      <c r="M15" s="75">
        <f>IFERROR(M14/(BedDemand!M10*30.4),0)</f>
        <v/>
      </c>
      <c r="N15" s="75">
        <f>IFERROR(N14/(BedDemand!N10*30.4),0)</f>
        <v/>
      </c>
      <c r="O15" s="75">
        <f>IFERROR(O14/(BedDemand!O10*30.4),0)</f>
        <v/>
      </c>
      <c r="P15" s="75">
        <f>IFERROR(P14/(BedDemand!P10*30.4),0)</f>
        <v/>
      </c>
      <c r="Q15" s="75">
        <f>IFERROR(Q14/(BedDemand!Q10*30.4),0)</f>
        <v/>
      </c>
      <c r="R15" s="75">
        <f>IFERROR(R14/(BedDemand!R10*30.4),0)</f>
        <v/>
      </c>
      <c r="S15" s="75">
        <f>IFERROR(S14/(BedDemand!S10*30.4),0)</f>
        <v/>
      </c>
      <c r="T15" s="75">
        <f>IFERROR(T14/(BedDemand!T10*30.4),0)</f>
        <v/>
      </c>
      <c r="U15" s="75">
        <f>IFERROR(U14/(BedDemand!U10*30.4),0)</f>
        <v/>
      </c>
      <c r="V15" s="75">
        <f>IFERROR(V14/(BedDemand!V10*30.4),0)</f>
        <v/>
      </c>
      <c r="W15" s="75">
        <f>IFERROR(W14/(BedDemand!W10*30.4),0)</f>
        <v/>
      </c>
      <c r="X15" s="75">
        <f>IFERROR(X14/(BedDemand!X10*30.4),0)</f>
        <v/>
      </c>
      <c r="Y15" s="75">
        <f>IFERROR(Y14/(BedDemand!Y10*30.4),0)</f>
        <v/>
      </c>
      <c r="Z15" s="75">
        <f>IFERROR(Z14/(BedDemand!Z10*30.4),0)</f>
        <v/>
      </c>
      <c r="AA15" s="75">
        <f>IFERROR(AA14/(BedDemand!AA10*30.4),0)</f>
        <v/>
      </c>
      <c r="AB15" s="75">
        <f>IFERROR(AB14/(BedDemand!AB10*30.4),0)</f>
        <v/>
      </c>
      <c r="AC15" s="75">
        <f>IFERROR(AC14/(BedDemand!AC10*30.4),0)</f>
        <v/>
      </c>
      <c r="AD15" s="75">
        <f>IFERROR(AD14/(BedDemand!AD10*30.4),0)</f>
        <v/>
      </c>
      <c r="AE15" s="75">
        <f>IFERROR(AE14/(BedDemand!AE10*30.4),0)</f>
        <v/>
      </c>
      <c r="AF15" s="75">
        <f>IFERROR(AF14/(BedDemand!AF10*30.4),0)</f>
        <v/>
      </c>
      <c r="AG15" s="75">
        <f>IFERROR(AG14/(BedDemand!AG10*30.4),0)</f>
        <v/>
      </c>
      <c r="AH15" s="75">
        <f>IFERROR(AH14/(BedDemand!AH10*30.4),0)</f>
        <v/>
      </c>
      <c r="AI15" s="75">
        <f>IFERROR(AI14/(BedDemand!AI10*30.4),0)</f>
        <v/>
      </c>
      <c r="AJ15" s="75">
        <f>IFERROR(AJ14/(BedDemand!AJ10*30.4),0)</f>
        <v/>
      </c>
      <c r="AK15" s="75">
        <f>IFERROR(AK14/(BedDemand!AK10*30.4),0)</f>
        <v/>
      </c>
      <c r="AL15" s="75">
        <f>IFERROR(AL14/(BedDemand!AL10*30.4),0)</f>
        <v/>
      </c>
      <c r="AM15" s="75">
        <f>IFERROR(AM14/(BedDemand!AM10*30.4),0)</f>
        <v/>
      </c>
      <c r="AN15" s="75">
        <f>IFERROR(AN14/(BedDemand!AN10*30.4),0)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E49"/>
  <sheetViews>
    <sheetView showGridLines="0" workbookViewId="0">
      <selection activeCell="A1" sqref="A1"/>
    </sheetView>
  </sheetViews>
  <sheetFormatPr baseColWidth="8" defaultRowHeight="15"/>
  <cols>
    <col width="4" customWidth="1" min="1" max="1"/>
    <col width="46" customWidth="1" min="2" max="2"/>
    <col width="16" customWidth="1" min="3" max="3"/>
    <col width="12" customWidth="1" min="4" max="4"/>
    <col width="62" customWidth="1" min="5" max="5"/>
    <col width="2" customWidth="1" min="6" max="6"/>
  </cols>
  <sheetData>
    <row r="2">
      <c r="B2" s="1" t="inlineStr">
        <is>
          <t>WHOLE-LIFE COST AND WHO PAYS IT</t>
        </is>
      </c>
    </row>
    <row r="3">
      <c r="B3" s="69" t="inlineStr">
        <is>
          <t>Indicative throughout. This sizes a decision — buy or hire, build or book hotels, phase or not. It is not a budget and not a price.</t>
        </is>
      </c>
    </row>
    <row r="5" ht="20" customHeight="1">
      <c r="A5" s="9" t="inlineStr">
        <is>
          <t xml:space="preserve">   THE WHOLE-LIFE NUMBER</t>
        </is>
      </c>
    </row>
    <row r="6">
      <c r="B6" s="4" t="inlineStr">
        <is>
          <t>Capex — creating the village</t>
        </is>
      </c>
      <c r="C6" s="73">
        <f>Capex!$D$33</f>
        <v/>
      </c>
      <c r="E6" s="57" t="inlineStr">
        <is>
          <t>From Capex. Includes demobilisation and reinstatement.</t>
        </is>
      </c>
    </row>
    <row r="7">
      <c r="B7" s="4" t="inlineStr">
        <is>
          <t>Opex — running it for the programme</t>
        </is>
      </c>
      <c r="C7" s="73">
        <f>Opex!$AP$14</f>
        <v/>
      </c>
      <c r="E7" s="57" t="inlineStr">
        <is>
          <t>From Opex, summed across every month.</t>
        </is>
      </c>
    </row>
    <row r="8">
      <c r="B8" s="6" t="inlineStr">
        <is>
          <t>TOTAL WHOLE-LIFE COST</t>
        </is>
      </c>
      <c r="C8" s="74">
        <f>C6+C7</f>
        <v/>
      </c>
      <c r="E8" s="57" t="inlineStr">
        <is>
          <t>The number to compare against the alternatives below.</t>
        </is>
      </c>
    </row>
    <row r="10">
      <c r="B10" s="4" t="inlineStr">
        <is>
          <t>Bed-nights delivered</t>
        </is>
      </c>
      <c r="C10" s="42">
        <f>BedDemand!$C$25</f>
        <v/>
      </c>
      <c r="E10" s="57" t="inlineStr">
        <is>
          <t>From BedDemand.</t>
        </is>
      </c>
    </row>
    <row r="11" ht="26" customHeight="1">
      <c r="B11" s="6" t="inlineStr">
        <is>
          <t>Whole-life cost per bed-night</t>
        </is>
      </c>
      <c r="C11" s="76">
        <f>IFERROR(C8/C10,0)</f>
        <v/>
      </c>
      <c r="E11" s="57" t="inlineStr">
        <is>
          <t>The single most useful number here. Compare it directly against a hotel room rate — including the travel time a hotel adds at both ends of every shift.</t>
        </is>
      </c>
    </row>
    <row r="12" ht="26" customHeight="1">
      <c r="B12" s="4" t="inlineStr">
        <is>
          <t>Cost per person-month of site presence</t>
        </is>
      </c>
      <c r="C12" s="73">
        <f>IFERROR(C8/Workforce!$C$34,0)</f>
        <v/>
      </c>
      <c r="E12" s="57" t="inlineStr">
        <is>
          <t>Whole-life cost against every person-month worked, travelling or local. What the village really costs the project.</t>
        </is>
      </c>
    </row>
    <row r="14" ht="20" customHeight="1">
      <c r="A14" s="9" t="inlineStr">
        <is>
          <t xml:space="preserve">   THE COMPARISON THAT DECIDES IT</t>
        </is>
      </c>
    </row>
    <row r="15" ht="26" customHeight="1">
      <c r="B15" s="4" t="inlineStr">
        <is>
          <t>Commercial accommodation — nightly rate</t>
        </is>
      </c>
      <c r="C15" s="77" t="n">
        <v>125</v>
      </c>
      <c r="E15" s="3" t="inlineStr">
        <is>
          <t>INDICATIVE. Put your own market rate here — and remember a village of this size takes the local market with it, so the rate you are quoted today is not the rate you pay in month twenty.</t>
        </is>
      </c>
    </row>
    <row r="16">
      <c r="B16" s="4" t="inlineStr">
        <is>
          <t>Commercial equivalent over the programme</t>
        </is>
      </c>
      <c r="C16" s="73">
        <f>C10*C15</f>
        <v/>
      </c>
      <c r="E16" s="3" t="inlineStr">
        <is>
          <t>Bed-nights × nightly rate. Excludes the extra travel time, the fatigue, and the loss of control over where your workforce sleeps.</t>
        </is>
      </c>
    </row>
    <row r="17" ht="26" customHeight="1">
      <c r="B17" s="6" t="inlineStr">
        <is>
          <t>Difference</t>
        </is>
      </c>
      <c r="C17" s="78">
        <f>C16-C8</f>
        <v/>
      </c>
      <c r="E17" s="3" t="inlineStr">
        <is>
          <t>Positive means the village is cheaper on these assumptions. Test it by changing the nightly rate above — the point at which it flips is the answer worth knowing.</t>
        </is>
      </c>
    </row>
    <row r="18" ht="26" customHeight="1">
      <c r="B18" s="4" t="inlineStr">
        <is>
          <t>Break-even nightly rate</t>
        </is>
      </c>
      <c r="C18" s="79">
        <f>IFERROR(C8/C10,0)</f>
        <v/>
      </c>
      <c r="E18" s="3" t="inlineStr">
        <is>
          <t>Below this rate, book rooms. Above it, build the village — subject to whether the rooms exist at all, which on most of these projects they do not.</t>
        </is>
      </c>
    </row>
    <row r="20" ht="20" customHeight="1">
      <c r="A20" s="9" t="inlineStr">
        <is>
          <t xml:space="preserve">   RECHARGE BY COMPANY</t>
        </is>
      </c>
    </row>
    <row r="21">
      <c r="A21" s="12" t="inlineStr"/>
      <c r="B21" s="12" t="inlineStr">
        <is>
          <t>Company</t>
        </is>
      </c>
      <c r="C21" s="12" t="inlineStr">
        <is>
          <t>Bed-months</t>
        </is>
      </c>
      <c r="D21" s="12" t="inlineStr">
        <is>
          <t>Share</t>
        </is>
      </c>
      <c r="E21" s="12" t="inlineStr">
        <is>
          <t>Indicative opex recharge</t>
        </is>
      </c>
    </row>
    <row r="22">
      <c r="B22" s="33">
        <f>BedDemand!B30</f>
        <v/>
      </c>
      <c r="C22" s="80">
        <f>BedDemand!D30</f>
        <v/>
      </c>
      <c r="D22" s="81">
        <f>BedDemand!E30</f>
        <v/>
      </c>
      <c r="E22" s="73">
        <f>D22*Opex!$AP$14</f>
        <v/>
      </c>
    </row>
    <row r="23">
      <c r="B23" s="33">
        <f>BedDemand!B31</f>
        <v/>
      </c>
      <c r="C23" s="80">
        <f>BedDemand!D31</f>
        <v/>
      </c>
      <c r="D23" s="81">
        <f>BedDemand!E31</f>
        <v/>
      </c>
      <c r="E23" s="73">
        <f>D23*Opex!$AP$14</f>
        <v/>
      </c>
    </row>
    <row r="24">
      <c r="B24" s="33">
        <f>BedDemand!B32</f>
        <v/>
      </c>
      <c r="C24" s="80">
        <f>BedDemand!D32</f>
        <v/>
      </c>
      <c r="D24" s="81">
        <f>BedDemand!E32</f>
        <v/>
      </c>
      <c r="E24" s="73">
        <f>D24*Opex!$AP$14</f>
        <v/>
      </c>
    </row>
    <row r="25">
      <c r="B25" s="33">
        <f>BedDemand!B33</f>
        <v/>
      </c>
      <c r="C25" s="80">
        <f>BedDemand!D33</f>
        <v/>
      </c>
      <c r="D25" s="81">
        <f>BedDemand!E33</f>
        <v/>
      </c>
      <c r="E25" s="73">
        <f>D25*Opex!$AP$14</f>
        <v/>
      </c>
    </row>
    <row r="26">
      <c r="B26" s="33">
        <f>BedDemand!B34</f>
        <v/>
      </c>
      <c r="C26" s="80">
        <f>BedDemand!D34</f>
        <v/>
      </c>
      <c r="D26" s="81">
        <f>BedDemand!E34</f>
        <v/>
      </c>
      <c r="E26" s="73">
        <f>D26*Opex!$AP$14</f>
        <v/>
      </c>
    </row>
    <row r="27">
      <c r="B27" s="33">
        <f>BedDemand!B35</f>
        <v/>
      </c>
      <c r="C27" s="80">
        <f>BedDemand!D35</f>
        <v/>
      </c>
      <c r="D27" s="81">
        <f>BedDemand!E35</f>
        <v/>
      </c>
      <c r="E27" s="73">
        <f>D27*Opex!$AP$14</f>
        <v/>
      </c>
    </row>
    <row r="28">
      <c r="B28" s="33">
        <f>BedDemand!B36</f>
        <v/>
      </c>
      <c r="C28" s="80">
        <f>BedDemand!D36</f>
        <v/>
      </c>
      <c r="D28" s="81">
        <f>BedDemand!E36</f>
        <v/>
      </c>
      <c r="E28" s="73">
        <f>D28*Opex!$AP$14</f>
        <v/>
      </c>
    </row>
    <row r="29">
      <c r="B29" s="33">
        <f>BedDemand!B37</f>
        <v/>
      </c>
      <c r="C29" s="80">
        <f>BedDemand!D37</f>
        <v/>
      </c>
      <c r="D29" s="81">
        <f>BedDemand!E37</f>
        <v/>
      </c>
      <c r="E29" s="73">
        <f>D29*Opex!$AP$14</f>
        <v/>
      </c>
    </row>
    <row r="30">
      <c r="B30" s="33">
        <f>BedDemand!B38</f>
        <v/>
      </c>
      <c r="C30" s="80">
        <f>BedDemand!D38</f>
        <v/>
      </c>
      <c r="D30" s="81">
        <f>BedDemand!E38</f>
        <v/>
      </c>
      <c r="E30" s="73">
        <f>D30*Opex!$AP$14</f>
        <v/>
      </c>
    </row>
    <row r="31">
      <c r="B31" s="33">
        <f>BedDemand!B39</f>
        <v/>
      </c>
      <c r="C31" s="80">
        <f>BedDemand!D39</f>
        <v/>
      </c>
      <c r="D31" s="81">
        <f>BedDemand!E39</f>
        <v/>
      </c>
      <c r="E31" s="73">
        <f>D31*Opex!$AP$14</f>
        <v/>
      </c>
    </row>
    <row r="32">
      <c r="B32" s="33">
        <f>BedDemand!B40</f>
        <v/>
      </c>
      <c r="C32" s="80">
        <f>BedDemand!D40</f>
        <v/>
      </c>
      <c r="D32" s="81">
        <f>BedDemand!E40</f>
        <v/>
      </c>
      <c r="E32" s="73">
        <f>D32*Opex!$AP$14</f>
        <v/>
      </c>
    </row>
    <row r="33">
      <c r="B33" s="33">
        <f>BedDemand!B41</f>
        <v/>
      </c>
      <c r="C33" s="80">
        <f>BedDemand!D41</f>
        <v/>
      </c>
      <c r="D33" s="81">
        <f>BedDemand!E41</f>
        <v/>
      </c>
      <c r="E33" s="73">
        <f>D33*Opex!$AP$14</f>
        <v/>
      </c>
    </row>
    <row r="34">
      <c r="B34" s="33">
        <f>BedDemand!B42</f>
        <v/>
      </c>
      <c r="C34" s="80">
        <f>BedDemand!D42</f>
        <v/>
      </c>
      <c r="D34" s="81">
        <f>BedDemand!E42</f>
        <v/>
      </c>
      <c r="E34" s="73">
        <f>D34*Opex!$AP$14</f>
        <v/>
      </c>
    </row>
    <row r="35">
      <c r="B35" s="33">
        <f>BedDemand!B43</f>
        <v/>
      </c>
      <c r="C35" s="80">
        <f>BedDemand!D43</f>
        <v/>
      </c>
      <c r="D35" s="81">
        <f>BedDemand!E43</f>
        <v/>
      </c>
      <c r="E35" s="73">
        <f>D35*Opex!$AP$14</f>
        <v/>
      </c>
    </row>
    <row r="36">
      <c r="B36" s="6" t="inlineStr">
        <is>
          <t>TOTAL</t>
        </is>
      </c>
      <c r="E36" s="72">
        <f>SUM(E22:E35)</f>
        <v/>
      </c>
    </row>
    <row r="38" ht="26" customHeight="1">
      <c r="B38" s="82" t="inlineStr">
        <is>
          <t>Recharge on share of bed-months is the defensible basis: a company that occupies a fifth of the village for a fifth of the time pays a fifth. Agree the basis in the subcontract before anyone occupies a room, or it becomes a dispute in month nine.</t>
        </is>
      </c>
    </row>
    <row r="40" ht="20" customHeight="1">
      <c r="A40" s="9" t="inlineStr">
        <is>
          <t xml:space="preserve">   WHOLE-LIFE COST BY PACKAGE</t>
        </is>
      </c>
    </row>
    <row r="41">
      <c r="A41" s="12" t="inlineStr"/>
      <c r="B41" s="12" t="inlineStr">
        <is>
          <t>Package</t>
        </is>
      </c>
      <c r="C41" s="12" t="inlineStr">
        <is>
          <t>Capex</t>
        </is>
      </c>
      <c r="D41" s="12" t="inlineStr">
        <is>
          <t>Opex</t>
        </is>
      </c>
      <c r="E41" s="12" t="inlineStr">
        <is>
          <t>Whole life</t>
        </is>
      </c>
    </row>
    <row r="42">
      <c r="B42" s="4" t="inlineStr">
        <is>
          <t>Civil works</t>
        </is>
      </c>
      <c r="C42" s="90">
        <f>Capex!$D$26</f>
        <v/>
      </c>
      <c r="D42" s="73" t="n">
        <v>0</v>
      </c>
      <c r="E42" s="78">
        <f>C42+D42</f>
        <v/>
      </c>
    </row>
    <row r="43">
      <c r="B43" s="4" t="inlineStr">
        <is>
          <t>Modular accommodation</t>
        </is>
      </c>
      <c r="C43" s="90">
        <f>Capex!$D$27</f>
        <v/>
      </c>
      <c r="D43" s="90">
        <f>Opex!$AP$6</f>
        <v/>
      </c>
      <c r="E43" s="78">
        <f>C43+D43</f>
        <v/>
      </c>
    </row>
    <row r="44">
      <c r="B44" s="4" t="inlineStr">
        <is>
          <t>Kitchen</t>
        </is>
      </c>
      <c r="C44" s="90">
        <f>Capex!$D$28</f>
        <v/>
      </c>
      <c r="D44" s="90">
        <f>Opex!$AP$8</f>
        <v/>
      </c>
      <c r="E44" s="78">
        <f>C44+D44</f>
        <v/>
      </c>
    </row>
    <row r="45">
      <c r="B45" s="4" t="inlineStr">
        <is>
          <t>Furniture</t>
        </is>
      </c>
      <c r="C45" s="90">
        <f>Capex!$D$29</f>
        <v/>
      </c>
      <c r="D45" s="73" t="n">
        <v>0</v>
      </c>
      <c r="E45" s="78">
        <f>C45+D45</f>
        <v/>
      </c>
    </row>
    <row r="46">
      <c r="B46" s="4" t="inlineStr">
        <is>
          <t>FM and operation</t>
        </is>
      </c>
      <c r="C46" s="90">
        <f>Capex!$D$30</f>
        <v/>
      </c>
      <c r="D46" s="90">
        <f>Opex!$AP$7+Opex!$AP$9+Opex!$AP$10+Opex!$AP$11+Opex!$AP$12+Opex!$AP$13</f>
        <v/>
      </c>
      <c r="E46" s="78">
        <f>C46+D46</f>
        <v/>
      </c>
    </row>
    <row r="47">
      <c r="B47" s="6" t="inlineStr">
        <is>
          <t>TOTAL (excludes design, fees and demobilisation)</t>
        </is>
      </c>
      <c r="C47" s="72">
        <f>SUM(C42:C46)</f>
        <v/>
      </c>
      <c r="D47" s="72">
        <f>SUM(D42:D46)</f>
        <v/>
      </c>
      <c r="E47" s="72">
        <f>SUM(E42:E46)</f>
        <v/>
      </c>
    </row>
    <row r="49" ht="30" customHeight="1">
      <c r="B49" s="82" t="inlineStr">
        <is>
          <t>Civil works and Furniture carry no operating cost of their own — their consequences land in FM. That is the point of interfaces IF-06 and IF-07: replacing broken furniture and maintaining the roads are real annual costs that belong to nobody unless they are written into P5.</t>
        </is>
      </c>
    </row>
  </sheetData>
  <mergeCells count="6">
    <mergeCell ref="A20:E20"/>
    <mergeCell ref="B49:E49"/>
    <mergeCell ref="B38:E38"/>
    <mergeCell ref="A5:E5"/>
    <mergeCell ref="A14:E14"/>
    <mergeCell ref="A40:E4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G21"/>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7" customWidth="1" min="2" max="2"/>
    <col width="32" customWidth="1" min="3" max="3"/>
    <col width="24" customWidth="1" min="4" max="4"/>
    <col width="46" customWidth="1" min="5" max="5"/>
    <col width="13" customWidth="1" min="6" max="6"/>
    <col width="15" customWidth="1" min="7" max="7"/>
  </cols>
  <sheetData>
    <row r="2">
      <c r="B2" s="1" t="inlineStr">
        <is>
          <t>COMPLIANCE AND CONSENTS REGISTER</t>
        </is>
      </c>
    </row>
    <row r="3">
      <c r="B3" s="3" t="inlineStr">
        <is>
          <t>A workers village is a residential development that happens to be temporary. It is consented, licensed and inspected as one. Confirm every line below with the relevant authority — none of it is settled by this workbook.</t>
        </is>
      </c>
    </row>
    <row r="5" ht="28" customHeight="1">
      <c r="B5" s="83" t="inlineStr">
        <is>
          <t>Ref</t>
        </is>
      </c>
      <c r="C5" s="83" t="inlineStr">
        <is>
          <t>Requirement</t>
        </is>
      </c>
      <c r="D5" s="83" t="inlineStr">
        <is>
          <t>Who decides</t>
        </is>
      </c>
      <c r="E5" s="83" t="inlineStr">
        <is>
          <t>Why it bites</t>
        </is>
      </c>
      <c r="F5" s="83" t="inlineStr">
        <is>
          <t>Lead time</t>
        </is>
      </c>
      <c r="G5" s="83" t="inlineStr">
        <is>
          <t>Status</t>
        </is>
      </c>
    </row>
    <row r="6" ht="30" customHeight="1">
      <c r="B6" s="84" t="inlineStr">
        <is>
          <t>C01</t>
        </is>
      </c>
      <c r="C6" s="84" t="inlineStr">
        <is>
          <t>Planning permission — temporary workers accommodation</t>
        </is>
      </c>
      <c r="D6" s="84" t="inlineStr">
        <is>
          <t>Local planning authority</t>
        </is>
      </c>
      <c r="E6" s="84" t="inlineStr">
        <is>
          <t>A village is rarely permitted development. Expect a full application with transport, noise, ecology and landscape assessments, and a condition restricting the life of the consent.</t>
        </is>
      </c>
      <c r="F6" s="84" t="inlineStr">
        <is>
          <t>6–12 months</t>
        </is>
      </c>
      <c r="G6" s="84" t="inlineStr">
        <is>
          <t>Not started</t>
        </is>
      </c>
    </row>
    <row r="7" ht="30" customHeight="1">
      <c r="B7" s="84" t="inlineStr">
        <is>
          <t>C02</t>
        </is>
      </c>
      <c r="C7" s="84" t="inlineStr">
        <is>
          <t>Building Regulations approval</t>
        </is>
      </c>
      <c r="D7" s="84" t="inlineStr">
        <is>
          <t>Building Control body</t>
        </is>
      </c>
      <c r="E7" s="84" t="inlineStr">
        <is>
          <t>Structure, fire, means of escape, ventilation, insulation, accessibility. Modular does not mean exempt.</t>
        </is>
      </c>
      <c r="F7" s="84" t="inlineStr">
        <is>
          <t>2–4 months</t>
        </is>
      </c>
      <c r="G7" s="84" t="inlineStr">
        <is>
          <t>Not started</t>
        </is>
      </c>
    </row>
    <row r="8" ht="30" customHeight="1">
      <c r="B8" s="84" t="inlineStr">
        <is>
          <t>C03</t>
        </is>
      </c>
      <c r="C8" s="84" t="inlineStr">
        <is>
          <t>Fire strategy and fire risk assessment</t>
        </is>
      </c>
      <c r="D8" s="84" t="inlineStr">
        <is>
          <t>Fire engineer; Fire &amp; Rescue Service consulted</t>
        </is>
      </c>
      <c r="E8" s="84" t="inlineStr">
        <is>
          <t>Sleeping accommodation is the highest-risk occupancy there is. Compartmentation, escape distances, detection, alarm, and a management plan that survives 300 shift workers.</t>
        </is>
      </c>
      <c r="F8" s="84" t="inlineStr">
        <is>
          <t>3–6 months</t>
        </is>
      </c>
      <c r="G8" s="84" t="inlineStr">
        <is>
          <t>Not started</t>
        </is>
      </c>
    </row>
    <row r="9" ht="30" customHeight="1">
      <c r="B9" s="84" t="inlineStr">
        <is>
          <t>C04</t>
        </is>
      </c>
      <c r="C9" s="84" t="inlineStr">
        <is>
          <t>HMO or equivalent licensing</t>
        </is>
      </c>
      <c r="D9" s="84" t="inlineStr">
        <is>
          <t>Local authority housing team</t>
        </is>
      </c>
      <c r="E9" s="84" t="inlineStr">
        <is>
          <t>Whether a workers village needs an HMO licence depends on its form and the authority. Ask early and in writing — the answer changes the design.</t>
        </is>
      </c>
      <c r="F9" s="84" t="inlineStr">
        <is>
          <t>2–6 months</t>
        </is>
      </c>
      <c r="G9" s="84" t="inlineStr">
        <is>
          <t>To confirm</t>
        </is>
      </c>
    </row>
    <row r="10" ht="30" customHeight="1">
      <c r="B10" s="84" t="inlineStr">
        <is>
          <t>C05</t>
        </is>
      </c>
      <c r="C10" s="84" t="inlineStr">
        <is>
          <t>Food business registration and hygiene rating</t>
        </is>
      </c>
      <c r="D10" s="84" t="inlineStr">
        <is>
          <t>Local authority environmental health</t>
        </is>
      </c>
      <c r="E10" s="84" t="inlineStr">
        <is>
          <t>At least 28 days before the kitchen opens. A poor rating on a village kitchen becomes a workforce relations problem within a week.</t>
        </is>
      </c>
      <c r="F10" s="84" t="inlineStr">
        <is>
          <t>1–2 months</t>
        </is>
      </c>
      <c r="G10" s="84" t="inlineStr">
        <is>
          <t>Not started</t>
        </is>
      </c>
    </row>
    <row r="11" ht="30" customHeight="1">
      <c r="B11" s="84" t="inlineStr">
        <is>
          <t>C06</t>
        </is>
      </c>
      <c r="C11" s="84" t="inlineStr">
        <is>
          <t>Private water supply / potable certification</t>
        </is>
      </c>
      <c r="D11" s="84" t="inlineStr">
        <is>
          <t>Water undertaker; environmental health</t>
        </is>
      </c>
      <c r="E11" s="84" t="inlineStr">
        <is>
          <t>No supply is proven potable until it is tested. Residential occupancy is not site welfare.</t>
        </is>
      </c>
      <c r="F11" s="84" t="inlineStr">
        <is>
          <t>2–4 months</t>
        </is>
      </c>
      <c r="G11" s="84" t="inlineStr">
        <is>
          <t>Not started</t>
        </is>
      </c>
    </row>
    <row r="12" ht="30" customHeight="1">
      <c r="B12" s="84" t="inlineStr">
        <is>
          <t>C07</t>
        </is>
      </c>
      <c r="C12" s="84" t="inlineStr">
        <is>
          <t>Foul discharge consent or package treatment permit</t>
        </is>
      </c>
      <c r="D12" s="84" t="inlineStr">
        <is>
          <t>Environment Agency / water undertaker</t>
        </is>
      </c>
      <c r="E12" s="84" t="inlineStr">
        <is>
          <t>Where there is no public sewer. Tanker frequency at village scale is not a plan, it is a cost.</t>
        </is>
      </c>
      <c r="F12" s="84" t="inlineStr">
        <is>
          <t>4–9 months</t>
        </is>
      </c>
      <c r="G12" s="84" t="inlineStr">
        <is>
          <t>Not started</t>
        </is>
      </c>
    </row>
    <row r="13" ht="30" customHeight="1">
      <c r="B13" s="84" t="inlineStr">
        <is>
          <t>C08</t>
        </is>
      </c>
      <c r="C13" s="84" t="inlineStr">
        <is>
          <t>Legionella risk assessment and water safety plan</t>
        </is>
      </c>
      <c r="D13" s="84" t="inlineStr">
        <is>
          <t>Duty holder; competent person</t>
        </is>
      </c>
      <c r="E13" s="84" t="inlineStr">
        <is>
          <t>Showers, calorifiers, low occupancy in early months and long dead legs. ACOP L8 applies from the day water enters the system, not from first occupation.</t>
        </is>
      </c>
      <c r="F13" s="84" t="inlineStr">
        <is>
          <t>1 month</t>
        </is>
      </c>
      <c r="G13" s="84" t="inlineStr">
        <is>
          <t>Not started</t>
        </is>
      </c>
    </row>
    <row r="14" ht="30" customHeight="1">
      <c r="B14" s="84" t="inlineStr">
        <is>
          <t>C09</t>
        </is>
      </c>
      <c r="C14" s="84" t="inlineStr">
        <is>
          <t>Electrical installation certification and periodic inspection</t>
        </is>
      </c>
      <c r="D14" s="84" t="inlineStr">
        <is>
          <t>Competent person, BS 7671</t>
        </is>
      </c>
      <c r="E14" s="84" t="inlineStr">
        <is>
          <t>Plus a DNO connection agreement, or a generation strategy that survives 38 months.</t>
        </is>
      </c>
      <c r="F14" s="84" t="inlineStr">
        <is>
          <t>Ongoing</t>
        </is>
      </c>
      <c r="G14" s="84" t="inlineStr">
        <is>
          <t>Not started</t>
        </is>
      </c>
    </row>
    <row r="15" ht="30" customHeight="1">
      <c r="B15" s="84" t="inlineStr">
        <is>
          <t>C10</t>
        </is>
      </c>
      <c r="C15" s="84" t="inlineStr">
        <is>
          <t>Gas safety — installation and annual certification</t>
        </is>
      </c>
      <c r="D15" s="84" t="inlineStr">
        <is>
          <t>Gas Safe registered engineer</t>
        </is>
      </c>
      <c r="E15" s="84" t="inlineStr">
        <is>
          <t>If catering or heating is gas. Certificates per appliance, per year, without exception.</t>
        </is>
      </c>
      <c r="F15" s="84" t="inlineStr">
        <is>
          <t>Ongoing</t>
        </is>
      </c>
      <c r="G15" s="84" t="inlineStr">
        <is>
          <t>Not started</t>
        </is>
      </c>
    </row>
    <row r="16" ht="30" customHeight="1">
      <c r="B16" s="84" t="inlineStr">
        <is>
          <t>C11</t>
        </is>
      </c>
      <c r="C16" s="84" t="inlineStr">
        <is>
          <t>Waste carrier registration and duty of care</t>
        </is>
      </c>
      <c r="D16" s="84" t="inlineStr">
        <is>
          <t>Environment Agency; waste contractor</t>
        </is>
      </c>
      <c r="E16" s="84" t="inlineStr">
        <is>
          <t>Transfer notes for every movement. Village waste is commercial waste.</t>
        </is>
      </c>
      <c r="F16" s="84" t="inlineStr">
        <is>
          <t>1 month</t>
        </is>
      </c>
      <c r="G16" s="84" t="inlineStr">
        <is>
          <t>Not started</t>
        </is>
      </c>
    </row>
    <row r="17" ht="30" customHeight="1">
      <c r="B17" s="84" t="inlineStr">
        <is>
          <t>C12</t>
        </is>
      </c>
      <c r="C17" s="84" t="inlineStr">
        <is>
          <t>Asbestos, ground contamination and land quality</t>
        </is>
      </c>
      <c r="D17" s="84" t="inlineStr">
        <is>
          <t>Competent consultant</t>
        </is>
      </c>
      <c r="E17" s="84" t="inlineStr">
        <is>
          <t>Before groundworks. Unknown ground is the commonest source of a village overrunning its programme.</t>
        </is>
      </c>
      <c r="F17" s="84" t="inlineStr">
        <is>
          <t>2–3 months</t>
        </is>
      </c>
      <c r="G17" s="84" t="inlineStr">
        <is>
          <t>Not started</t>
        </is>
      </c>
    </row>
    <row r="18" ht="30" customHeight="1">
      <c r="B18" s="84" t="inlineStr">
        <is>
          <t>C13</t>
        </is>
      </c>
      <c r="C18" s="84" t="inlineStr">
        <is>
          <t>Highways agreement for village access</t>
        </is>
      </c>
      <c r="D18" s="84" t="inlineStr">
        <is>
          <t>Highway authority</t>
        </is>
      </c>
      <c r="E18" s="84" t="inlineStr">
        <is>
          <t>A new access serving 300 residents and a bus fleet is not a field gate. Expect a Section 278 or equivalent.</t>
        </is>
      </c>
      <c r="F18" s="84" t="inlineStr">
        <is>
          <t>5–7 months</t>
        </is>
      </c>
      <c r="G18" s="84" t="inlineStr">
        <is>
          <t>Not started</t>
        </is>
      </c>
    </row>
    <row r="19" ht="30" customHeight="1">
      <c r="B19" s="84" t="inlineStr">
        <is>
          <t>C14</t>
        </is>
      </c>
      <c r="C19" s="84" t="inlineStr">
        <is>
          <t>Safeguarding, welfare and residents' conduct policy</t>
        </is>
      </c>
      <c r="D19" s="84" t="inlineStr">
        <is>
          <t>Employer / operator</t>
        </is>
      </c>
      <c r="E19" s="84" t="inlineStr">
        <is>
          <t>Alcohol, visitors, anti-social behaviour, mental health, lone workers and a complaints route. Villages fail on this more often than on engineering.</t>
        </is>
      </c>
      <c r="F19" s="84" t="inlineStr">
        <is>
          <t>1 month</t>
        </is>
      </c>
      <c r="G19" s="84" t="inlineStr">
        <is>
          <t>Not started</t>
        </is>
      </c>
    </row>
    <row r="20" ht="30" customHeight="1">
      <c r="B20" s="84" t="inlineStr">
        <is>
          <t>C15</t>
        </is>
      </c>
      <c r="C20" s="84" t="inlineStr">
        <is>
          <t>Insurance — property, liability, business interruption</t>
        </is>
      </c>
      <c r="D20" s="84" t="inlineStr">
        <is>
          <t>Broker / insurer</t>
        </is>
      </c>
      <c r="E20" s="84" t="inlineStr">
        <is>
          <t>Confirm the village is covered as residential, not as a site compound. The two are underwritten very differently.</t>
        </is>
      </c>
      <c r="F20" s="84" t="inlineStr">
        <is>
          <t>1 month</t>
        </is>
      </c>
      <c r="G20" s="84" t="inlineStr">
        <is>
          <t>Not started</t>
        </is>
      </c>
    </row>
    <row r="21" ht="30" customHeight="1">
      <c r="B21" s="84" t="inlineStr">
        <is>
          <t>C16</t>
        </is>
      </c>
      <c r="C21" s="84" t="inlineStr">
        <is>
          <t>Data protection for resident records</t>
        </is>
      </c>
      <c r="D21" s="84" t="inlineStr">
        <is>
          <t>Employer / operator</t>
        </is>
      </c>
      <c r="E21" s="84" t="inlineStr">
        <is>
          <t>Occupancy, next of kin, health information and CCTV. A lawful basis and a retention period for each.</t>
        </is>
      </c>
      <c r="F21" s="84" t="inlineStr">
        <is>
          <t>1 month</t>
        </is>
      </c>
      <c r="G21" s="84" t="inlineStr">
        <is>
          <t>Not started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H2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7" customWidth="1" min="2" max="2"/>
    <col width="40" customWidth="1" min="3" max="3"/>
    <col width="5" customWidth="1" min="4" max="4"/>
    <col width="5" customWidth="1" min="5" max="5"/>
    <col width="7" customWidth="1" min="6" max="6"/>
    <col width="52" customWidth="1" min="7" max="7"/>
    <col width="20" customWidth="1" min="8" max="8"/>
  </cols>
  <sheetData>
    <row r="2">
      <c r="B2" s="1" t="inlineStr">
        <is>
          <t>RISK REGISTER — VILLAGE DELIVERY AND OPERATION</t>
        </is>
      </c>
    </row>
    <row r="3">
      <c r="B3" s="3" t="inlineStr">
        <is>
          <t>Scored probability × impact. Sixteen and above is immediate management attention. Every mitigation names an action and an owner; none of them says “monitor”.</t>
        </is>
      </c>
    </row>
    <row r="5" ht="28" customHeight="1">
      <c r="B5" s="83" t="inlineStr">
        <is>
          <t>Ref</t>
        </is>
      </c>
      <c r="C5" s="83" t="inlineStr">
        <is>
          <t>Risk</t>
        </is>
      </c>
      <c r="D5" s="83" t="inlineStr">
        <is>
          <t>P</t>
        </is>
      </c>
      <c r="E5" s="83" t="inlineStr">
        <is>
          <t>I</t>
        </is>
      </c>
      <c r="F5" s="83" t="inlineStr">
        <is>
          <t>Score</t>
        </is>
      </c>
      <c r="G5" s="83" t="inlineStr">
        <is>
          <t>Mitigation — what is actually done</t>
        </is>
      </c>
      <c r="H5" s="83" t="inlineStr">
        <is>
          <t>Owner</t>
        </is>
      </c>
    </row>
    <row r="6" ht="30" customHeight="1">
      <c r="B6" s="84" t="inlineStr">
        <is>
          <t>R01</t>
        </is>
      </c>
      <c r="C6" s="84" t="inlineStr">
        <is>
          <t>Planning consent refused or heavily conditioned</t>
        </is>
      </c>
      <c r="D6" s="85" t="inlineStr">
        <is>
          <t>3</t>
        </is>
      </c>
      <c r="E6" s="85" t="inlineStr">
        <is>
          <t>5</t>
        </is>
      </c>
      <c r="F6" s="86">
        <f>D6*E6</f>
        <v/>
      </c>
      <c r="G6" s="84" t="inlineStr">
        <is>
          <t>Pre-application meeting before any design spend; transport, noise and landscape assessments commissioned early; a fallback of phased commercial accommodation priced before the application goes in.</t>
        </is>
      </c>
      <c r="H6" s="84" t="inlineStr">
        <is>
          <t>Development manager</t>
        </is>
      </c>
    </row>
    <row r="7" ht="30" customHeight="1">
      <c r="B7" s="84" t="inlineStr">
        <is>
          <t>R02</t>
        </is>
      </c>
      <c r="C7" s="84" t="inlineStr">
        <is>
          <t>Village not live before the first travelling worker arrives</t>
        </is>
      </c>
      <c r="D7" s="85" t="inlineStr">
        <is>
          <t>4</t>
        </is>
      </c>
      <c r="E7" s="85" t="inlineStr">
        <is>
          <t>4</t>
        </is>
      </c>
      <c r="F7" s="86">
        <f>D7*E7</f>
        <v/>
      </c>
      <c r="G7" s="84" t="inlineStr">
        <is>
          <t>Work the programme backwards from first arrival, not forwards from today. Commit long-lead modules before consent at a priced, accepted risk. Book bridging accommodation now for the first ninety days.</t>
        </is>
      </c>
      <c r="H7" s="84" t="inlineStr">
        <is>
          <t>Project director</t>
        </is>
      </c>
    </row>
    <row r="8" ht="30" customHeight="1">
      <c r="B8" s="84" t="inlineStr">
        <is>
          <t>R03</t>
        </is>
      </c>
      <c r="C8" s="84" t="inlineStr">
        <is>
          <t>Ground conditions worse than assumed</t>
        </is>
      </c>
      <c r="D8" s="85" t="inlineStr">
        <is>
          <t>3</t>
        </is>
      </c>
      <c r="E8" s="85" t="inlineStr">
        <is>
          <t>4</t>
        </is>
      </c>
      <c r="F8" s="86">
        <f>D8*E8</f>
        <v/>
      </c>
      <c r="G8" s="84" t="inlineStr">
        <is>
          <t>Ground investigation before the layout is fixed, not after. Hold a provisional sum against foundations until it reports.</t>
        </is>
      </c>
      <c r="H8" s="84" t="inlineStr">
        <is>
          <t>Engineering</t>
        </is>
      </c>
    </row>
    <row r="9" ht="30" customHeight="1">
      <c r="B9" s="84" t="inlineStr">
        <is>
          <t>R04</t>
        </is>
      </c>
      <c r="C9" s="84" t="inlineStr">
        <is>
          <t>Utility connection unavailable or capacity refused</t>
        </is>
      </c>
      <c r="D9" s="85" t="inlineStr">
        <is>
          <t>3</t>
        </is>
      </c>
      <c r="E9" s="85" t="inlineStr">
        <is>
          <t>5</t>
        </is>
      </c>
      <c r="F9" s="86">
        <f>D9*E9</f>
        <v/>
      </c>
      <c r="G9" s="84" t="inlineStr">
        <is>
          <t>Enquiries to water and DNO before land is committed. Generation and package treatment priced in parallel as the fallback, not as an afterthought.</t>
        </is>
      </c>
      <c r="H9" s="84" t="inlineStr">
        <is>
          <t>Engineering</t>
        </is>
      </c>
    </row>
    <row r="10" ht="30" customHeight="1">
      <c r="B10" s="84" t="inlineStr">
        <is>
          <t>R05</t>
        </is>
      </c>
      <c r="C10" s="84" t="inlineStr">
        <is>
          <t>Fire strategy forces a design change late</t>
        </is>
      </c>
      <c r="D10" s="85" t="inlineStr">
        <is>
          <t>2</t>
        </is>
      </c>
      <c r="E10" s="85" t="inlineStr">
        <is>
          <t>5</t>
        </is>
      </c>
      <c r="F10" s="86">
        <f>D10*E10</f>
        <v/>
      </c>
      <c r="G10" s="84" t="inlineStr">
        <is>
          <t>Fire engineer appointed at concept, not at Building Control. Compartmentation and escape agreed before modules are ordered.</t>
        </is>
      </c>
      <c r="H10" s="84" t="inlineStr">
        <is>
          <t>Fire engineer</t>
        </is>
      </c>
    </row>
    <row r="11" ht="30" customHeight="1">
      <c r="B11" s="84" t="inlineStr">
        <is>
          <t>R06</t>
        </is>
      </c>
      <c r="C11" s="84" t="inlineStr">
        <is>
          <t>Occupancy materially below plan — the village runs empty</t>
        </is>
      </c>
      <c r="D11" s="85" t="inlineStr">
        <is>
          <t>3</t>
        </is>
      </c>
      <c r="E11" s="85" t="inlineStr">
        <is>
          <t>4</t>
        </is>
      </c>
      <c r="F11" s="86">
        <f>D11*E11</f>
        <v/>
      </c>
      <c r="G11" s="84" t="inlineStr">
        <is>
          <t>Phase the blocks against the bed curve. Contract for hire with a break, or a sublet right, rather than buying the peak on day one.</t>
        </is>
      </c>
      <c r="H11" s="84" t="inlineStr">
        <is>
          <t>Commercial</t>
        </is>
      </c>
    </row>
    <row r="12" ht="30" customHeight="1">
      <c r="B12" s="84" t="inlineStr">
        <is>
          <t>R07</t>
        </is>
      </c>
      <c r="C12" s="84" t="inlineStr">
        <is>
          <t>Occupancy above plan — no room for a late package</t>
        </is>
      </c>
      <c r="D12" s="85" t="inlineStr">
        <is>
          <t>3</t>
        </is>
      </c>
      <c r="E12" s="85" t="inlineStr">
        <is>
          <t>3</t>
        </is>
      </c>
      <c r="F12" s="86">
        <f>D12*E12</f>
        <v/>
      </c>
      <c r="G12" s="84" t="inlineStr">
        <is>
          <t>Contingency rooms in the schedule and a pre-agreed call-off for additional modules with a stated lead time.</t>
        </is>
      </c>
      <c r="H12" s="84" t="inlineStr">
        <is>
          <t>Commercial</t>
        </is>
      </c>
    </row>
    <row r="13" ht="30" customHeight="1">
      <c r="B13" s="84" t="inlineStr">
        <is>
          <t>R08</t>
        </is>
      </c>
      <c r="C13" s="84" t="inlineStr">
        <is>
          <t>Legionella or water quality failure</t>
        </is>
      </c>
      <c r="D13" s="85" t="inlineStr">
        <is>
          <t>2</t>
        </is>
      </c>
      <c r="E13" s="85" t="inlineStr">
        <is>
          <t>5</t>
        </is>
      </c>
      <c r="F13" s="86">
        <f>D13*E13</f>
        <v/>
      </c>
      <c r="G13" s="84" t="inlineStr">
        <is>
          <t>Water safety plan from first fill, flushing regime through the low-occupancy months, competent person appointed, records kept.</t>
        </is>
      </c>
      <c r="H13" s="84" t="inlineStr">
        <is>
          <t>Village operator</t>
        </is>
      </c>
    </row>
    <row r="14" ht="30" customHeight="1">
      <c r="B14" s="84" t="inlineStr">
        <is>
          <t>R09</t>
        </is>
      </c>
      <c r="C14" s="84" t="inlineStr">
        <is>
          <t>Fire, flood or major incident in occupied accommodation</t>
        </is>
      </c>
      <c r="D14" s="85" t="inlineStr">
        <is>
          <t>2</t>
        </is>
      </c>
      <c r="E14" s="85" t="inlineStr">
        <is>
          <t>5</t>
        </is>
      </c>
      <c r="F14" s="86">
        <f>D14*E14</f>
        <v/>
      </c>
      <c r="G14" s="84" t="inlineStr">
        <is>
          <t>Detection and alarm to the fire strategy, drills from first occupation, 24/7 staffed reception, muster and roll-call procedure tested.</t>
        </is>
      </c>
      <c r="H14" s="84" t="inlineStr">
        <is>
          <t>Village manager</t>
        </is>
      </c>
    </row>
    <row r="15" ht="30" customHeight="1">
      <c r="B15" s="84" t="inlineStr">
        <is>
          <t>R10</t>
        </is>
      </c>
      <c r="C15" s="84" t="inlineStr">
        <is>
          <t>Anti-social behaviour, alcohol or violence</t>
        </is>
      </c>
      <c r="D15" s="85" t="inlineStr">
        <is>
          <t>4</t>
        </is>
      </c>
      <c r="E15" s="85" t="inlineStr">
        <is>
          <t>3</t>
        </is>
      </c>
      <c r="F15" s="86">
        <f>D15*E15</f>
        <v/>
      </c>
      <c r="G15" s="84" t="inlineStr">
        <is>
          <t>Written conduct policy accepted at induction, alcohol policy agreed with all employers, 24/7 security, a real complaints route and consequences that are applied.</t>
        </is>
      </c>
      <c r="H15" s="84" t="inlineStr">
        <is>
          <t>Village manager</t>
        </is>
      </c>
    </row>
    <row r="16" ht="30" customHeight="1">
      <c r="B16" s="84" t="inlineStr">
        <is>
          <t>R11</t>
        </is>
      </c>
      <c r="C16" s="84" t="inlineStr">
        <is>
          <t>Catering failure — hygiene, supply or quality</t>
        </is>
      </c>
      <c r="D16" s="85" t="inlineStr">
        <is>
          <t>3</t>
        </is>
      </c>
      <c r="E16" s="85" t="inlineStr">
        <is>
          <t>4</t>
        </is>
      </c>
      <c r="F16" s="86">
        <f>D16*E16</f>
        <v/>
      </c>
      <c r="G16" s="84" t="inlineStr">
        <is>
          <t>Registered caterer, hygiene rating monitored, contingency supplier identified, resident feedback acted on monthly. Bad food empties a village faster than bad beds.</t>
        </is>
      </c>
      <c r="H16" s="84" t="inlineStr">
        <is>
          <t>Village operator</t>
        </is>
      </c>
    </row>
    <row r="17" ht="30" customHeight="1">
      <c r="B17" s="84" t="inlineStr">
        <is>
          <t>R12</t>
        </is>
      </c>
      <c r="C17" s="84" t="inlineStr">
        <is>
          <t>Transport failure — workforce late to site</t>
        </is>
      </c>
      <c r="D17" s="85" t="inlineStr">
        <is>
          <t>3</t>
        </is>
      </c>
      <c r="E17" s="85" t="inlineStr">
        <is>
          <t>4</t>
        </is>
      </c>
      <c r="F17" s="86">
        <f>D17*E17</f>
        <v/>
      </c>
      <c r="G17" s="84" t="inlineStr">
        <is>
          <t>Spare bus in the contract, drivers' hours modelled, a walking or minibus fallback, and a gate arrival plan that does not depend on every bus being on time.</t>
        </is>
      </c>
      <c r="H17" s="84" t="inlineStr">
        <is>
          <t>Logistics</t>
        </is>
      </c>
    </row>
    <row r="18" ht="30" customHeight="1">
      <c r="B18" s="84" t="inlineStr">
        <is>
          <t>R13</t>
        </is>
      </c>
      <c r="C18" s="84" t="inlineStr">
        <is>
          <t>Local community objection during operation</t>
        </is>
      </c>
      <c r="D18" s="85" t="inlineStr">
        <is>
          <t>3</t>
        </is>
      </c>
      <c r="E18" s="85" t="inlineStr">
        <is>
          <t>3</t>
        </is>
      </c>
      <c r="F18" s="86">
        <f>D18*E18</f>
        <v/>
      </c>
      <c r="G18" s="84" t="inlineStr">
        <is>
          <t>Liaison group from before the application, a published complaints number answered by a person, lighting and noise controls, and traffic routed away from the village.</t>
        </is>
      </c>
      <c r="H18" s="84" t="inlineStr">
        <is>
          <t>Community liaison</t>
        </is>
      </c>
    </row>
    <row r="19" ht="30" customHeight="1">
      <c r="B19" s="84" t="inlineStr">
        <is>
          <t>R14</t>
        </is>
      </c>
      <c r="C19" s="84" t="inlineStr">
        <is>
          <t>Cost escalation on modules or catering</t>
        </is>
      </c>
      <c r="D19" s="85" t="inlineStr">
        <is>
          <t>4</t>
        </is>
      </c>
      <c r="E19" s="85" t="inlineStr">
        <is>
          <t>3</t>
        </is>
      </c>
      <c r="F19" s="86">
        <f>D19*E19</f>
        <v/>
      </c>
      <c r="G19" s="84" t="inlineStr">
        <is>
          <t>Fix rates at order for the full 38 months where possible; index only what must be indexed; hold the difference as a named risk allowance.</t>
        </is>
      </c>
      <c r="H19" s="84" t="inlineStr">
        <is>
          <t>Commercial</t>
        </is>
      </c>
    </row>
    <row r="20" ht="30" customHeight="1">
      <c r="B20" s="84" t="inlineStr">
        <is>
          <t>R15</t>
        </is>
      </c>
      <c r="C20" s="84" t="inlineStr">
        <is>
          <t>Recharge dispute between companies</t>
        </is>
      </c>
      <c r="D20" s="85" t="inlineStr">
        <is>
          <t>3</t>
        </is>
      </c>
      <c r="E20" s="85" t="inlineStr">
        <is>
          <t>3</t>
        </is>
      </c>
      <c r="F20" s="86">
        <f>D20*E20</f>
        <v/>
      </c>
      <c r="G20" s="84" t="inlineStr">
        <is>
          <t>Basis of recharge — share of bed-months — agreed in every subcontract before occupation, with the register visible to all parties monthly.</t>
        </is>
      </c>
      <c r="H20" s="84" t="inlineStr">
        <is>
          <t>Commercial</t>
        </is>
      </c>
    </row>
    <row r="21" ht="30" customHeight="1">
      <c r="B21" s="84" t="inlineStr">
        <is>
          <t>R16</t>
        </is>
      </c>
      <c r="C21" s="84" t="inlineStr">
        <is>
          <t>Workforce refuses the accommodation standard offered</t>
        </is>
      </c>
      <c r="D21" s="85" t="inlineStr">
        <is>
          <t>2</t>
        </is>
      </c>
      <c r="E21" s="85" t="inlineStr">
        <is>
          <t>4</t>
        </is>
      </c>
      <c r="F21" s="86">
        <f>D21*E21</f>
        <v/>
      </c>
      <c r="G21" s="84" t="inlineStr">
        <is>
          <t>Room specification agreed with the trade unions and employers before order. A room nobody will live in is worse than no village.</t>
        </is>
      </c>
      <c r="H21" s="84" t="inlineStr">
        <is>
          <t>Project director</t>
        </is>
      </c>
    </row>
    <row r="22" ht="30" customHeight="1">
      <c r="B22" s="84" t="inlineStr">
        <is>
          <t>R17</t>
        </is>
      </c>
      <c r="C22" s="84" t="inlineStr">
        <is>
          <t>Demobilisation and reinstatement not budgeted</t>
        </is>
      </c>
      <c r="D22" s="85" t="inlineStr">
        <is>
          <t>4</t>
        </is>
      </c>
      <c r="E22" s="85" t="inlineStr">
        <is>
          <t>2</t>
        </is>
      </c>
      <c r="F22" s="86">
        <f>D22*E22</f>
        <v/>
      </c>
      <c r="G22" s="84" t="inlineStr">
        <is>
          <t>Priced in Capex from day one and held in the cost plan, not left to the final account.</t>
        </is>
      </c>
      <c r="H22" s="84" t="inlineStr">
        <is>
          <t>Commercial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F23"/>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7" customWidth="1" min="2" max="2"/>
    <col width="46" customWidth="1" min="3" max="3"/>
    <col width="20" customWidth="1" min="4" max="4"/>
    <col width="22" customWidth="1" min="5" max="5"/>
    <col width="48" customWidth="1" min="6" max="6"/>
  </cols>
  <sheetData>
    <row r="2">
      <c r="B2" s="1" t="inlineStr">
        <is>
          <t>MOBILISATION CHECKLIST — THE ORDER THINGS HAVE TO HAPPEN IN</t>
        </is>
      </c>
    </row>
    <row r="3">
      <c r="B3" s="3" t="inlineStr">
        <is>
          <t>Ordered by what blocks what. The first block is the one that is already late on most projects.</t>
        </is>
      </c>
    </row>
    <row r="5" ht="28" customHeight="1">
      <c r="B5" s="83" t="inlineStr">
        <is>
          <t>Ref</t>
        </is>
      </c>
      <c r="C5" s="83" t="inlineStr">
        <is>
          <t>Action</t>
        </is>
      </c>
      <c r="D5" s="83" t="inlineStr">
        <is>
          <t>When</t>
        </is>
      </c>
      <c r="E5" s="83" t="inlineStr">
        <is>
          <t>Owner</t>
        </is>
      </c>
      <c r="F5" s="83" t="inlineStr">
        <is>
          <t>Blocks what, if it slips</t>
        </is>
      </c>
    </row>
    <row r="6" ht="30" customHeight="1">
      <c r="B6" s="84" t="inlineStr">
        <is>
          <t>M01</t>
        </is>
      </c>
      <c r="C6" s="84" t="inlineStr">
        <is>
          <t>Fix the first-arrival month from the bed curve</t>
        </is>
      </c>
      <c r="D6" s="84" t="inlineStr">
        <is>
          <t>Now</t>
        </is>
      </c>
      <c r="E6" s="84" t="inlineStr">
        <is>
          <t>Project director</t>
        </is>
      </c>
      <c r="F6" s="84" t="inlineStr">
        <is>
          <t>Everything. This is the only date the village programme is worked back from.</t>
        </is>
      </c>
    </row>
    <row r="7" ht="30" customHeight="1">
      <c r="B7" s="84" t="inlineStr">
        <is>
          <t>M02</t>
        </is>
      </c>
      <c r="C7" s="84" t="inlineStr">
        <is>
          <t>Pre-application meeting with the planning authority</t>
        </is>
      </c>
      <c r="D7" s="84" t="inlineStr">
        <is>
          <t>Now</t>
        </is>
      </c>
      <c r="E7" s="84" t="inlineStr">
        <is>
          <t>Development manager</t>
        </is>
      </c>
      <c r="F7" s="84" t="inlineStr">
        <is>
          <t>The consent, and therefore the whole programme.</t>
        </is>
      </c>
    </row>
    <row r="8" ht="30" customHeight="1">
      <c r="B8" s="84" t="inlineStr">
        <is>
          <t>M03</t>
        </is>
      </c>
      <c r="C8" s="84" t="inlineStr">
        <is>
          <t>Commission ground investigation on the village site</t>
        </is>
      </c>
      <c r="D8" s="84" t="inlineStr">
        <is>
          <t>Now</t>
        </is>
      </c>
      <c r="E8" s="84" t="inlineStr">
        <is>
          <t>Engineering</t>
        </is>
      </c>
      <c r="F8" s="84" t="inlineStr">
        <is>
          <t>Foundations, hardstanding, drainage and the capex number.</t>
        </is>
      </c>
    </row>
    <row r="9" ht="30" customHeight="1">
      <c r="B9" s="84" t="inlineStr">
        <is>
          <t>M04</t>
        </is>
      </c>
      <c r="C9" s="84" t="inlineStr">
        <is>
          <t>Water and DNO capacity enquiries</t>
        </is>
      </c>
      <c r="D9" s="84" t="inlineStr">
        <is>
          <t>Now</t>
        </is>
      </c>
      <c r="E9" s="84" t="inlineStr">
        <is>
          <t>Engineering</t>
        </is>
      </c>
      <c r="F9" s="84" t="inlineStr">
        <is>
          <t>Whether the village can be where you want it at all.</t>
        </is>
      </c>
    </row>
    <row r="10" ht="30" customHeight="1">
      <c r="B10" s="84" t="inlineStr">
        <is>
          <t>M05</t>
        </is>
      </c>
      <c r="C10" s="84" t="inlineStr">
        <is>
          <t>Appoint the fire engineer</t>
        </is>
      </c>
      <c r="D10" s="84" t="inlineStr">
        <is>
          <t>Now</t>
        </is>
      </c>
      <c r="E10" s="84" t="inlineStr">
        <is>
          <t>Project director</t>
        </is>
      </c>
      <c r="F10" s="84" t="inlineStr">
        <is>
          <t>Block layout, compartmentation, escape and module specification.</t>
        </is>
      </c>
    </row>
    <row r="11" ht="30" customHeight="1">
      <c r="B11" s="84" t="inlineStr">
        <is>
          <t>M06</t>
        </is>
      </c>
      <c r="C11" s="84" t="inlineStr">
        <is>
          <t>Agree the room specification with employers and unions</t>
        </is>
      </c>
      <c r="D11" s="84" t="inlineStr">
        <is>
          <t>Month 1</t>
        </is>
      </c>
      <c r="E11" s="84" t="inlineStr">
        <is>
          <t>Project director</t>
        </is>
      </c>
      <c r="F11" s="84" t="inlineStr">
        <is>
          <t>Module order. A room nobody will accept is worse than no village.</t>
        </is>
      </c>
    </row>
    <row r="12" ht="30" customHeight="1">
      <c r="B12" s="84" t="inlineStr">
        <is>
          <t>M07</t>
        </is>
      </c>
      <c r="C12" s="84" t="inlineStr">
        <is>
          <t>Price bridging accommodation for the first ninety days</t>
        </is>
      </c>
      <c r="D12" s="84" t="inlineStr">
        <is>
          <t>Month 1</t>
        </is>
      </c>
      <c r="E12" s="84" t="inlineStr">
        <is>
          <t>Commercial</t>
        </is>
      </c>
      <c r="F12" s="84" t="inlineStr">
        <is>
          <t>The gap between first arrival and village live, which almost always exists.</t>
        </is>
      </c>
    </row>
    <row r="13" ht="30" customHeight="1">
      <c r="B13" s="84" t="inlineStr">
        <is>
          <t>M08</t>
        </is>
      </c>
      <c r="C13" s="84" t="inlineStr">
        <is>
          <t>Market test modules and fix the lead time</t>
        </is>
      </c>
      <c r="D13" s="84" t="inlineStr">
        <is>
          <t>Month 1</t>
        </is>
      </c>
      <c r="E13" s="84" t="inlineStr">
        <is>
          <t>Procurement</t>
        </is>
      </c>
      <c r="F13" s="84" t="inlineStr">
        <is>
          <t>The critical path from month two onwards.</t>
        </is>
      </c>
    </row>
    <row r="14" ht="30" customHeight="1">
      <c r="B14" s="84" t="inlineStr">
        <is>
          <t>M09</t>
        </is>
      </c>
      <c r="C14" s="84" t="inlineStr">
        <is>
          <t>Agree the recharge basis in every subcontract</t>
        </is>
      </c>
      <c r="D14" s="84" t="inlineStr">
        <is>
          <t>Month 2</t>
        </is>
      </c>
      <c r="E14" s="84" t="inlineStr">
        <is>
          <t>Commercial</t>
        </is>
      </c>
      <c r="F14" s="84" t="inlineStr">
        <is>
          <t>A dispute in month nine that nobody can settle retrospectively.</t>
        </is>
      </c>
    </row>
    <row r="15" ht="30" customHeight="1">
      <c r="B15" s="84" t="inlineStr">
        <is>
          <t>M10</t>
        </is>
      </c>
      <c r="C15" s="84" t="inlineStr">
        <is>
          <t>Submit the planning application</t>
        </is>
      </c>
      <c r="D15" s="84" t="inlineStr">
        <is>
          <t>Month 2</t>
        </is>
      </c>
      <c r="E15" s="84" t="inlineStr">
        <is>
          <t>Development manager</t>
        </is>
      </c>
      <c r="F15" s="84" t="inlineStr">
        <is>
          <t>Consent, and every date after it.</t>
        </is>
      </c>
    </row>
    <row r="16" ht="30" customHeight="1">
      <c r="B16" s="84" t="inlineStr">
        <is>
          <t>M11</t>
        </is>
      </c>
      <c r="C16" s="84" t="inlineStr">
        <is>
          <t>Appoint the village operator</t>
        </is>
      </c>
      <c r="D16" s="84" t="inlineStr">
        <is>
          <t>Month 3</t>
        </is>
      </c>
      <c r="E16" s="84" t="inlineStr">
        <is>
          <t>Project director</t>
        </is>
      </c>
      <c r="F16" s="84" t="inlineStr">
        <is>
          <t>Staffing, mobilisation, policies and the operational readiness plan.</t>
        </is>
      </c>
    </row>
    <row r="17" ht="30" customHeight="1">
      <c r="B17" s="84" t="inlineStr">
        <is>
          <t>M12</t>
        </is>
      </c>
      <c r="C17" s="84" t="inlineStr">
        <is>
          <t>Order long-lead modules</t>
        </is>
      </c>
      <c r="D17" s="84" t="inlineStr">
        <is>
          <t>Month 3</t>
        </is>
      </c>
      <c r="E17" s="84" t="inlineStr">
        <is>
          <t>Procurement</t>
        </is>
      </c>
      <c r="F17" s="84" t="inlineStr">
        <is>
          <t>Delivery and installation. Placed before consent only on a priced, accepted risk.</t>
        </is>
      </c>
    </row>
    <row r="18" ht="30" customHeight="1">
      <c r="B18" s="84" t="inlineStr">
        <is>
          <t>M13</t>
        </is>
      </c>
      <c r="C18" s="84" t="inlineStr">
        <is>
          <t>Food business registration</t>
        </is>
      </c>
      <c r="D18" s="84" t="inlineStr">
        <is>
          <t>28 days before opening</t>
        </is>
      </c>
      <c r="E18" s="84" t="inlineStr">
        <is>
          <t>Village operator</t>
        </is>
      </c>
      <c r="F18" s="84" t="inlineStr">
        <is>
          <t>The kitchen. Statutory minimum notice, no discretion.</t>
        </is>
      </c>
    </row>
    <row r="19" ht="30" customHeight="1">
      <c r="B19" s="84" t="inlineStr">
        <is>
          <t>M14</t>
        </is>
      </c>
      <c r="C19" s="84" t="inlineStr">
        <is>
          <t>Water safety plan and first-fill flushing regime</t>
        </is>
      </c>
      <c r="D19" s="84" t="inlineStr">
        <is>
          <t>Before first fill</t>
        </is>
      </c>
      <c r="E19" s="84" t="inlineStr">
        <is>
          <t>Village operator</t>
        </is>
      </c>
      <c r="F19" s="84" t="inlineStr">
        <is>
          <t>Legionella duty. Applies from the day water enters the system.</t>
        </is>
      </c>
    </row>
    <row r="20" ht="30" customHeight="1">
      <c r="B20" s="84" t="inlineStr">
        <is>
          <t>M15</t>
        </is>
      </c>
      <c r="C20" s="84" t="inlineStr">
        <is>
          <t>Conduct, alcohol and safeguarding policy issued</t>
        </is>
      </c>
      <c r="D20" s="84" t="inlineStr">
        <is>
          <t>Before occupation</t>
        </is>
      </c>
      <c r="E20" s="84" t="inlineStr">
        <is>
          <t>Village manager</t>
        </is>
      </c>
      <c r="F20" s="84" t="inlineStr">
        <is>
          <t>Every discipline case that follows. Unwritten policies are unenforceable.</t>
        </is>
      </c>
    </row>
    <row r="21" ht="30" customHeight="1">
      <c r="B21" s="84" t="inlineStr">
        <is>
          <t>M16</t>
        </is>
      </c>
      <c r="C21" s="84" t="inlineStr">
        <is>
          <t>Fire drill and roll-call procedure tested</t>
        </is>
      </c>
      <c r="D21" s="84" t="inlineStr">
        <is>
          <t>First week of occupation</t>
        </is>
      </c>
      <c r="E21" s="84" t="inlineStr">
        <is>
          <t>Village manager</t>
        </is>
      </c>
      <c r="F21" s="84" t="inlineStr">
        <is>
          <t>The one thing that must work the first time it is needed.</t>
        </is>
      </c>
    </row>
    <row r="22" ht="30" customHeight="1">
      <c r="B22" s="84" t="inlineStr">
        <is>
          <t>M17</t>
        </is>
      </c>
      <c r="C22" s="84" t="inlineStr">
        <is>
          <t>Resident feedback route open and answered</t>
        </is>
      </c>
      <c r="D22" s="84" t="inlineStr">
        <is>
          <t>First week of occupation</t>
        </is>
      </c>
      <c r="E22" s="84" t="inlineStr">
        <is>
          <t>Village manager</t>
        </is>
      </c>
      <c r="F22" s="84" t="inlineStr">
        <is>
          <t>Retention. Villages fail on food, wifi and being ignored — in that order.</t>
        </is>
      </c>
    </row>
    <row r="23" ht="30" customHeight="1">
      <c r="B23" s="84" t="inlineStr">
        <is>
          <t>M18</t>
        </is>
      </c>
      <c r="C23" s="84" t="inlineStr">
        <is>
          <t>Demobilisation plan and reinstatement scope agreed</t>
        </is>
      </c>
      <c r="D23" s="84" t="inlineStr">
        <is>
          <t>Month 6</t>
        </is>
      </c>
      <c r="E23" s="84" t="inlineStr">
        <is>
          <t>Commercial</t>
        </is>
      </c>
      <c r="F23" s="84" t="inlineStr">
        <is>
          <t>The end of the job, priced while there is still time to price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2026-09-07T19:31:27Z</dcterms:created>
  <dcterms:modified xmlns:dcterms="http://purl.org/dc/terms/" xmlns:xsi="http://www.w3.org/2001/XMLSchema-instance" xsi:type="dcterms:W3CDTF">2026-09-07T20:06:20Z</dcterms:modified>
</cp:coreProperties>
</file>