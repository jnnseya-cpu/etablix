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DecisionTest" sheetId="3" state="visible" r:id="rId3"/>
    <sheet xmlns:r="http://schemas.openxmlformats.org/officeDocument/2006/relationships" name="LoadModel" sheetId="4" state="visible" r:id="rId4"/>
    <sheet xmlns:r="http://schemas.openxmlformats.org/officeDocument/2006/relationships" name="WrapCost" sheetId="5" state="visible" r:id="rId5"/>
    <sheet xmlns:r="http://schemas.openxmlformats.org/officeDocument/2006/relationships" name="LDImpact" sheetId="6" state="visible" r:id="rId6"/>
    <sheet xmlns:r="http://schemas.openxmlformats.org/officeDocument/2006/relationships" name="Verdic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£#,##0"/>
    <numFmt numFmtId="165" formatCode="0.0%"/>
    <numFmt numFmtId="166" formatCode="0.0"/>
    <numFmt numFmtId="167" formatCode="0.000%"/>
  </numFmts>
  <fonts count="6">
    <font>
      <name val="Calibri"/>
      <family val="2"/>
      <color theme="1"/>
      <sz val="11"/>
      <scheme val="minor"/>
    </font>
    <font>
      <name val="Arial"/>
      <b val="1"/>
      <color rgb="FF14181D"/>
      <sz val="14"/>
    </font>
    <font>
      <name val="Arial"/>
      <i val="1"/>
      <color rgb="FF5B6672"/>
      <sz val="9"/>
    </font>
    <font>
      <name val="Arial"/>
      <b val="1"/>
      <color rgb="FF14181D"/>
      <sz val="10"/>
    </font>
    <font>
      <name val="Arial"/>
      <color rgb="FF14181D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4181D"/>
      </patternFill>
    </fill>
    <fill>
      <patternFill patternType="solid">
        <fgColor rgb="FFF2EFE7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3" borderId="1" pivotButton="0" quotePrefix="0" xfId="0"/>
    <xf numFmtId="0" fontId="4" fillId="3" borderId="1" pivotButton="0" quotePrefix="0" xfId="0"/>
    <xf numFmtId="0" fontId="3" fillId="0" borderId="1" applyAlignment="1" pivotButton="0" quotePrefix="0" xfId="0">
      <alignment vertical="top" wrapText="1"/>
    </xf>
    <xf numFmtId="164" fontId="4" fillId="4" borderId="1" pivotButton="0" quotePrefix="0" xfId="0"/>
    <xf numFmtId="0" fontId="2" fillId="0" borderId="1" applyAlignment="1" pivotButton="0" quotePrefix="0" xfId="0">
      <alignment vertical="top" wrapText="1"/>
    </xf>
    <xf numFmtId="1" fontId="4" fillId="4" borderId="1" pivotButton="0" quotePrefix="0" xfId="0"/>
    <xf numFmtId="165" fontId="4" fillId="4" borderId="1" pivotButton="0" quotePrefix="0" xfId="0"/>
    <xf numFmtId="166" fontId="4" fillId="4" borderId="1" pivotButton="0" quotePrefix="0" xfId="0"/>
    <xf numFmtId="167" fontId="4" fillId="4" borderId="1" pivotButton="0" quotePrefix="0" xfId="0"/>
    <xf numFmtId="0" fontId="4" fillId="0" borderId="1" applyAlignment="1" pivotButton="0" quotePrefix="0" xfId="0">
      <alignment vertical="top" wrapText="1"/>
    </xf>
    <xf numFmtId="1" fontId="3" fillId="4" borderId="1" pivotButton="0" quotePrefix="0" xfId="0"/>
    <xf numFmtId="1" fontId="3" fillId="3" borderId="1" pivotButton="0" quotePrefix="0" xfId="0"/>
    <xf numFmtId="1" fontId="4" fillId="0" borderId="1" pivotButton="0" quotePrefix="0" xfId="0"/>
    <xf numFmtId="166" fontId="4" fillId="0" borderId="1" pivotButton="0" quotePrefix="0" xfId="0"/>
    <xf numFmtId="166" fontId="3" fillId="3" borderId="1" pivotButton="0" quotePrefix="0" xfId="0"/>
    <xf numFmtId="164" fontId="3" fillId="3" borderId="1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165" fontId="3" fillId="3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ETABLIX — Five-to-One Consolidation Decision and Cost Model</t>
        </is>
      </c>
    </row>
    <row r="2">
      <c r="A2" s="2" t="inlineStr">
        <is>
          <t>Companion to ETX-PB-01. Built 08 September 2026. Yellow cells are inputs; everything else is computed.</t>
        </is>
      </c>
    </row>
    <row r="4">
      <c r="A4" s="3" t="inlineStr">
        <is>
          <t>WHAT THIS ANSWERS</t>
        </is>
      </c>
    </row>
    <row r="5">
      <c r="A5" s="4" t="inlineStr">
        <is>
          <t>The playbook says consolidate a load problem and not a performance problem, and it says expect a 17–21 per cent wrap.</t>
        </is>
      </c>
    </row>
    <row r="6">
      <c r="A6" s="4" t="inlineStr">
        <is>
          <t>It cannot say whether the wrap is worth it on YOUR job, because that depends on four sums, a management cost and a</t>
        </is>
      </c>
    </row>
    <row r="7">
      <c r="A7" s="4" t="inlineStr">
        <is>
          <t>liquidated damages position that are different every time. This model says.</t>
        </is>
      </c>
    </row>
    <row r="8">
      <c r="A8" s="4" t="inlineStr"/>
    </row>
    <row r="9">
      <c r="A9" s="3" t="inlineStr">
        <is>
          <t>THE SHEETS</t>
        </is>
      </c>
    </row>
    <row r="10">
      <c r="A10" s="4" t="inlineStr">
        <is>
          <t>Inputs          The four transferred sums, the prime's own package, the stack percentages, the client's own management</t>
        </is>
      </c>
    </row>
    <row r="11">
      <c r="A11" s="4" t="inlineStr">
        <is>
          <t xml:space="preserve">                cost, and the liquidated damages position. Everything else reads from here.</t>
        </is>
      </c>
    </row>
    <row r="12">
      <c r="A12" s="4" t="inlineStr">
        <is>
          <t>DecisionTest    The eight questions at playbook clause 5.3, scored 0/1/2. The verdict is computed, not typed.</t>
        </is>
      </c>
    </row>
    <row r="13">
      <c r="A13" s="4" t="inlineStr">
        <is>
          <t>LoadModel       What the client actually carries with five packages: interfaces, statutory notice deadlines, valuations,</t>
        </is>
      </c>
    </row>
    <row r="14">
      <c r="A14" s="4" t="inlineStr">
        <is>
          <t xml:space="preserve">                and the management hours behind them, costed. This is the number the wrap is compared against.</t>
        </is>
      </c>
    </row>
    <row r="15">
      <c r="A15" s="4" t="inlineStr">
        <is>
          <t>WrapCost        The four-line stack applied to the transferred value only. Never to the prime's own package.</t>
        </is>
      </c>
    </row>
    <row r="16">
      <c r="A16" s="4" t="inlineStr">
        <is>
          <t>LDImpact        What collapsing four liquidated damages caps into one costs in recoverable damages. Nobody models this</t>
        </is>
      </c>
    </row>
    <row r="17">
      <c r="A17" s="4" t="inlineStr">
        <is>
          <t xml:space="preserve">                and the prime will not raise it.</t>
        </is>
      </c>
    </row>
    <row r="18">
      <c r="A18" s="4" t="inlineStr">
        <is>
          <t>Verdict         The three numbers side by side, and the answer.</t>
        </is>
      </c>
    </row>
    <row r="19">
      <c r="A19" s="4" t="inlineStr"/>
    </row>
    <row r="20">
      <c r="A20" s="3" t="inlineStr">
        <is>
          <t>TWO THINGS THIS MODEL WILL NOT DO</t>
        </is>
      </c>
    </row>
    <row r="21">
      <c r="A21" s="4" t="inlineStr">
        <is>
          <t>It will not tell you to consolidate a performance problem. DecisionTest question 7 fails the whole model if a package is</t>
        </is>
      </c>
    </row>
    <row r="22">
      <c r="A22" s="4" t="inlineStr">
        <is>
          <t>not performing, and the Verdict sheet says so in words rather than producing a number that flatters the decision.</t>
        </is>
      </c>
    </row>
    <row r="23">
      <c r="A23" s="4" t="inlineStr">
        <is>
          <t>It will not price the wrap on the prime's own package. That sum was competed in the prime's own tender and charging a</t>
        </is>
      </c>
    </row>
    <row r="24">
      <c r="A24" s="4" t="inlineStr">
        <is>
          <t>management fee on it is the same money taken twice.</t>
        </is>
      </c>
    </row>
    <row r="25">
      <c r="A25" s="4" t="inlineStr"/>
    </row>
    <row r="26">
      <c r="A26" s="3" t="inlineStr">
        <is>
          <t>HOW THE FORMULAS WERE CHECKED</t>
        </is>
      </c>
    </row>
    <row r="27">
      <c r="A27" s="4" t="inlineStr">
        <is>
          <t>LibreOffice cannot recalculate a workbook in the environment this was built in, so every formula is re-implemented</t>
        </is>
      </c>
    </row>
    <row r="28">
      <c r="A28" s="4" t="inlineStr">
        <is>
          <t>independently in Python and the two are asserted equal before the file is written. A formula that disagrees with its</t>
        </is>
      </c>
    </row>
    <row r="29">
      <c r="A29" s="4" t="inlineStr">
        <is>
          <t>own re-implementation fails the build rather than shipping.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54" customWidth="1" min="3" max="3"/>
  </cols>
  <sheetData>
    <row r="1">
      <c r="A1" s="1" t="inlineStr">
        <is>
          <t>Inputs</t>
        </is>
      </c>
    </row>
    <row r="2">
      <c r="A2" s="2" t="inlineStr">
        <is>
          <t>Yellow cells only. Every other sheet reads from here.</t>
        </is>
      </c>
    </row>
    <row r="4" ht="28" customHeight="1">
      <c r="A4" s="5" t="inlineStr">
        <is>
          <t>Input</t>
        </is>
      </c>
      <c r="B4" s="5" t="inlineStr">
        <is>
          <t>Value</t>
        </is>
      </c>
      <c r="C4" s="5" t="inlineStr">
        <is>
          <t>Note</t>
        </is>
      </c>
    </row>
    <row r="5">
      <c r="A5" s="6" t="inlineStr">
        <is>
          <t>THE TRANSFERRED PACKAGES</t>
        </is>
      </c>
      <c r="B5" s="7" t="inlineStr"/>
      <c r="C5" s="7" t="inlineStr"/>
    </row>
    <row r="6">
      <c r="A6" s="8" t="inlineStr">
        <is>
          <t>P1 Civil works — contract sum</t>
        </is>
      </c>
      <c r="B6" s="9" t="n">
        <v>3400000</v>
      </c>
      <c r="C6" s="10" t="inlineStr">
        <is>
          <t>Fixed at the cut-off valuation. Never provisional — playbook 8.3.</t>
        </is>
      </c>
    </row>
    <row r="7">
      <c r="A7" s="8" t="inlineStr">
        <is>
          <t>P2 Modular accommodation — contract sum</t>
        </is>
      </c>
      <c r="B7" s="9" t="n">
        <v>11800000</v>
      </c>
      <c r="C7" s="10" t="inlineStr">
        <is>
          <t>Usually the largest of the five.</t>
        </is>
      </c>
    </row>
    <row r="8">
      <c r="A8" s="8" t="inlineStr">
        <is>
          <t>P3 Kitchen fit-out — contract sum</t>
        </is>
      </c>
      <c r="B8" s="9" t="n">
        <v>1150000</v>
      </c>
      <c r="C8" s="10" t="inlineStr"/>
    </row>
    <row r="9">
      <c r="A9" s="8" t="inlineStr">
        <is>
          <t>P4 Furniture, fittings and equipment — contract sum</t>
        </is>
      </c>
      <c r="B9" s="9" t="n">
        <v>820000</v>
      </c>
      <c r="C9" s="10" t="inlineStr"/>
    </row>
    <row r="10">
      <c r="A10" s="8" t="inlineStr">
        <is>
          <t>Number of packages actually transferred</t>
        </is>
      </c>
      <c r="B10" s="11" t="n">
        <v>4</v>
      </c>
      <c r="C10" s="10" t="inlineStr">
        <is>
          <t>Set to 3 to model a partial consolidation — playbook 6.4.</t>
        </is>
      </c>
    </row>
    <row r="11">
      <c r="A11" s="6" t="inlineStr">
        <is>
          <t>THE PRIME'S OWN PACKAGE</t>
        </is>
      </c>
      <c r="B11" s="7" t="inlineStr"/>
      <c r="C11" s="7" t="inlineStr"/>
    </row>
    <row r="12">
      <c r="A12" s="8" t="inlineStr">
        <is>
          <t>P5 FM and operation — contract sum</t>
        </is>
      </c>
      <c r="B12" s="9" t="n">
        <v>6900000</v>
      </c>
      <c r="C12" s="10" t="inlineStr">
        <is>
          <t>NOT part of the transferred value. The stack is never applied to it.</t>
        </is>
      </c>
    </row>
    <row r="13">
      <c r="A13" s="6" t="inlineStr">
        <is>
          <t>THE WRAP</t>
        </is>
      </c>
      <c r="B13" s="7" t="inlineStr"/>
      <c r="C13" s="7" t="inlineStr"/>
    </row>
    <row r="14">
      <c r="A14" s="8" t="inlineStr">
        <is>
          <t>Management and integration</t>
        </is>
      </c>
      <c r="B14" s="12" t="n">
        <v>0.07000000000000001</v>
      </c>
      <c r="C14" s="10" t="inlineStr">
        <is>
          <t>Playbook range 6–9%. The only line with a headcount behind it.</t>
        </is>
      </c>
    </row>
    <row r="15">
      <c r="A15" s="8" t="inlineStr">
        <is>
          <t>Corporate overhead recovery</t>
        </is>
      </c>
      <c r="B15" s="12" t="n">
        <v>0.04</v>
      </c>
      <c r="C15" s="10" t="inlineStr">
        <is>
          <t>Range 3–5%.</t>
        </is>
      </c>
    </row>
    <row r="16">
      <c r="A16" s="8" t="inlineStr">
        <is>
          <t>Profit and prime risk</t>
        </is>
      </c>
      <c r="B16" s="12" t="n">
        <v>0.06</v>
      </c>
      <c r="C16" s="10" t="inlineStr">
        <is>
          <t>Range 5–8%.</t>
        </is>
      </c>
    </row>
    <row r="17">
      <c r="A17" s="8" t="inlineStr">
        <is>
          <t>Controlled contingency</t>
        </is>
      </c>
      <c r="B17" s="12" t="n">
        <v>0.04</v>
      </c>
      <c r="C17" s="10" t="inlineStr">
        <is>
          <t>Range 3–5%. Not profit — held against the joint register.</t>
        </is>
      </c>
    </row>
    <row r="18">
      <c r="A18" s="8" t="inlineStr">
        <is>
          <t>Contingency expected to be returned</t>
        </is>
      </c>
      <c r="B18" s="12" t="n">
        <v>0.5</v>
      </c>
      <c r="C18" s="10" t="inlineStr">
        <is>
          <t>Set to 0 if the prime keeps it all; 1 if it is fully returned unused.</t>
        </is>
      </c>
    </row>
    <row r="19">
      <c r="A19" s="6" t="inlineStr">
        <is>
          <t>THE CLIENT'S OWN COST OF CARRYING FIVE</t>
        </is>
      </c>
      <c r="B19" s="7" t="inlineStr"/>
      <c r="C19" s="7" t="inlineStr"/>
    </row>
    <row r="20">
      <c r="A20" s="8" t="inlineStr">
        <is>
          <t>Months the client would carry the load</t>
        </is>
      </c>
      <c r="B20" s="11" t="n">
        <v>24</v>
      </c>
      <c r="C20" s="10" t="inlineStr">
        <is>
          <t>From now to the last practical completion.</t>
        </is>
      </c>
    </row>
    <row r="21">
      <c r="A21" s="8" t="inlineStr">
        <is>
          <t>Hours per month, per contract administered</t>
        </is>
      </c>
      <c r="B21" s="13" t="n">
        <v>14</v>
      </c>
      <c r="C21" s="10" t="inlineStr">
        <is>
          <t>Valuation, notices, change, reporting, correspondence.</t>
        </is>
      </c>
    </row>
    <row r="22">
      <c r="A22" s="8" t="inlineStr">
        <is>
          <t>Hours per month, per interface held</t>
        </is>
      </c>
      <c r="B22" s="13" t="n">
        <v>9</v>
      </c>
      <c r="C22" s="10" t="inlineStr">
        <is>
          <t>Meetings, chasing drawings, reconciling two programmes.</t>
        </is>
      </c>
    </row>
    <row r="23">
      <c r="A23" s="8" t="inlineStr">
        <is>
          <t>Hours per month, per main-project interface</t>
        </is>
      </c>
      <c r="B23" s="13" t="n">
        <v>5</v>
      </c>
      <c r="C23" s="10" t="inlineStr">
        <is>
          <t>The accommodation against the main works.</t>
        </is>
      </c>
    </row>
    <row r="24">
      <c r="A24" s="8" t="inlineStr">
        <is>
          <t>All-in cost of a client management hour</t>
        </is>
      </c>
      <c r="B24" s="9" t="n">
        <v>78</v>
      </c>
      <c r="C24" s="10" t="inlineStr">
        <is>
          <t>Salary, on-costs, overhead — not a charge-out rate.</t>
        </is>
      </c>
    </row>
    <row r="25">
      <c r="A25" s="8" t="inlineStr">
        <is>
          <t>Cost of one missed pay-less notice</t>
        </is>
      </c>
      <c r="B25" s="9" t="n">
        <v>180000</v>
      </c>
      <c r="C25" s="10" t="inlineStr">
        <is>
          <t>The sum applied for becomes payable in full. Size it on one month's application.</t>
        </is>
      </c>
    </row>
    <row r="26">
      <c r="A26" s="8" t="inlineStr">
        <is>
          <t>Probability of missing one, per notice</t>
        </is>
      </c>
      <c r="B26" s="14" t="n">
        <v>0.004</v>
      </c>
      <c r="C26" s="10" t="inlineStr">
        <is>
          <t>0.4% per deadline. Sixty deadlines a year is not a small number of chances.</t>
        </is>
      </c>
    </row>
    <row r="27">
      <c r="A27" s="6" t="inlineStr">
        <is>
          <t>DELAY RISK — WHAT SINGLE-POINT ACCOUNTABILITY IS ACTUALLY FOR</t>
        </is>
      </c>
      <c r="B27" s="7" t="inlineStr"/>
      <c r="C27" s="7" t="inlineStr"/>
    </row>
    <row r="28">
      <c r="A28" s="8" t="inlineStr">
        <is>
          <t>Beds in the village</t>
        </is>
      </c>
      <c r="B28" s="11" t="n">
        <v>225</v>
      </c>
      <c r="C28" s="10" t="inlineStr"/>
    </row>
    <row r="29">
      <c r="A29" s="8" t="inlineStr">
        <is>
          <t>Cost per bed per day if a bed is not available</t>
        </is>
      </c>
      <c r="B29" s="9" t="n">
        <v>145</v>
      </c>
      <c r="C29" s="10" t="inlineStr">
        <is>
          <t>Substitute accommodation, subsistence, travel and administration. See the P2 Employer's Requirements.</t>
        </is>
      </c>
    </row>
    <row r="30">
      <c r="A30" s="8" t="inlineStr">
        <is>
          <t>Months of delay at risk</t>
        </is>
      </c>
      <c r="B30" s="13" t="n">
        <v>1.5</v>
      </c>
      <c r="C30" s="10" t="inlineStr">
        <is>
          <t>The realistic exposure if the interfaces are not held.</t>
        </is>
      </c>
    </row>
    <row r="31">
      <c r="A31" s="8" t="inlineStr">
        <is>
          <t>Probability of that delay with five packages</t>
        </is>
      </c>
      <c r="B31" s="12" t="n">
        <v>0.35</v>
      </c>
      <c r="C31" s="10" t="inlineStr"/>
    </row>
    <row r="32">
      <c r="A32" s="8" t="inlineStr">
        <is>
          <t>Probability of that delay after consolidation</t>
        </is>
      </c>
      <c r="B32" s="12" t="n">
        <v>0.15</v>
      </c>
      <c r="C32" s="10" t="inlineStr">
        <is>
          <t>It does not go to zero. The prime can be late too.</t>
        </is>
      </c>
    </row>
    <row r="33">
      <c r="A33" s="6" t="inlineStr">
        <is>
          <t>LIQUIDATED DAMAGES</t>
        </is>
      </c>
      <c r="B33" s="7" t="inlineStr"/>
      <c r="C33" s="7" t="inlineStr"/>
    </row>
    <row r="34">
      <c r="A34" s="8" t="inlineStr">
        <is>
          <t>LD cap, per contract</t>
        </is>
      </c>
      <c r="B34" s="12" t="n">
        <v>0.05</v>
      </c>
      <c r="C34" s="10" t="inlineStr">
        <is>
          <t>Five per cent of the contract sum is the common position.</t>
        </is>
      </c>
    </row>
    <row r="35">
      <c r="A35" s="8" t="inlineStr">
        <is>
          <t>Expected delay exposure, as a share of each cap</t>
        </is>
      </c>
      <c r="B35" s="12" t="n">
        <v>0.6</v>
      </c>
      <c r="C35" s="10" t="inlineStr">
        <is>
          <t>How much of each cap you would realistically be claiming.</t>
        </is>
      </c>
    </row>
    <row r="36">
      <c r="A36" s="8" t="inlineStr">
        <is>
          <t>Transaction cost of the consolidation</t>
        </is>
      </c>
      <c r="B36" s="9" t="n">
        <v>95000</v>
      </c>
      <c r="C36" s="10" t="inlineStr">
        <is>
          <t>Five deeds, four cut-off valuations, and twelve weeks of management time.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72" customWidth="1" min="1" max="1"/>
    <col width="12" customWidth="1" min="2" max="2"/>
    <col width="44" customWidth="1" min="3" max="3"/>
  </cols>
  <sheetData>
    <row r="1">
      <c r="A1" s="1" t="inlineStr">
        <is>
          <t>Decision test</t>
        </is>
      </c>
    </row>
    <row r="2">
      <c r="A2" s="2" t="inlineStr">
        <is>
          <t>Playbook clause 5.3. Score each line 0, 1 or 2. The verdict is computed.</t>
        </is>
      </c>
    </row>
    <row r="4" ht="28" customHeight="1">
      <c r="A4" s="5" t="inlineStr">
        <is>
          <t>Question</t>
        </is>
      </c>
      <c r="B4" s="5" t="inlineStr">
        <is>
          <t>Score</t>
        </is>
      </c>
      <c r="C4" s="5" t="inlineStr">
        <is>
          <t>What a 2 means</t>
        </is>
      </c>
    </row>
    <row r="5">
      <c r="A5" s="15" t="inlineStr">
        <is>
          <t>Can the client name one person, with time, who holds the ten interfaces?</t>
        </is>
      </c>
      <c r="B5" s="16" t="n">
        <v>2</v>
      </c>
      <c r="C5" s="10" t="inlineStr">
        <is>
          <t>No, or the name is someone already full</t>
        </is>
      </c>
    </row>
    <row r="6">
      <c r="A6" s="15" t="inlineStr">
        <is>
          <t>How many coordination deliverables are overdue?</t>
        </is>
      </c>
      <c r="B6" s="16" t="n">
        <v>2</v>
      </c>
      <c r="C6" s="10" t="inlineStr">
        <is>
          <t>Three or more</t>
        </is>
      </c>
    </row>
    <row r="7">
      <c r="A7" s="15" t="inlineStr">
        <is>
          <t>Has a statutory payment or pay-less notice been missed, or nearly missed?</t>
        </is>
      </c>
      <c r="B7" s="16" t="n">
        <v>1</v>
      </c>
      <c r="C7" s="10" t="inlineStr">
        <is>
          <t>Yes, on any package</t>
        </is>
      </c>
    </row>
    <row r="8">
      <c r="A8" s="15" t="inlineStr">
        <is>
          <t>Are the five progress reports reconciled against one programme every month?</t>
        </is>
      </c>
      <c r="B8" s="16" t="n">
        <v>2</v>
      </c>
      <c r="C8" s="10" t="inlineStr">
        <is>
          <t>No, or only sometimes</t>
        </is>
      </c>
    </row>
    <row r="9">
      <c r="A9" s="15" t="inlineStr">
        <is>
          <t>Is the accommodation competing for the same people as the main project?</t>
        </is>
      </c>
      <c r="B9" s="16" t="n">
        <v>2</v>
      </c>
      <c r="C9" s="10" t="inlineStr">
        <is>
          <t>Yes, the same people hold both</t>
        </is>
      </c>
    </row>
    <row r="10">
      <c r="A10" s="15" t="inlineStr">
        <is>
          <t>Are the four enabling clauses in all five contracts?</t>
        </is>
      </c>
      <c r="B10" s="16" t="n">
        <v>2</v>
      </c>
      <c r="C10" s="10" t="inlineStr">
        <is>
          <t>Yes, all four — otherwise read playbook 7.5 first</t>
        </is>
      </c>
    </row>
    <row r="11">
      <c r="A11" s="15" t="inlineStr">
        <is>
          <t>Is every package performing to its own contract?</t>
        </is>
      </c>
      <c r="B11" s="16" t="n">
        <v>2</v>
      </c>
      <c r="C11" s="10" t="inlineStr">
        <is>
          <t>Yes. A 0 here STOPS the model — see the Verdict sheet</t>
        </is>
      </c>
    </row>
    <row r="12">
      <c r="A12" s="15" t="inlineStr">
        <is>
          <t>Is at least one of the five capable of holding the other four?</t>
        </is>
      </c>
      <c r="B12" s="16" t="n">
        <v>2</v>
      </c>
      <c r="C12" s="10" t="inlineStr">
        <is>
          <t>Yes, clearly</t>
        </is>
      </c>
    </row>
    <row r="14">
      <c r="A14" s="6" t="inlineStr">
        <is>
          <t>Total score, out of 16</t>
        </is>
      </c>
      <c r="B14" s="17">
        <f>SUM(B5:B12)</f>
        <v/>
      </c>
      <c r="C14" s="10" t="inlineStr">
        <is>
          <t>8 or more: consolidate. Below 6: resource the interfaces instead. 6 to 8: consolidate a subset.</t>
        </is>
      </c>
    </row>
    <row r="15">
      <c r="A15" s="6" t="inlineStr">
        <is>
          <t>Every package performing?</t>
        </is>
      </c>
      <c r="B15" s="6">
        <f>IF(B11=0,"NO — STOP","Yes")</f>
        <v/>
      </c>
      <c r="C15" s="10" t="inlineStr">
        <is>
          <t>Playbook 5.1. Consolidating a performance problem buries it and pays a wrap to acquire it.</t>
        </is>
      </c>
    </row>
    <row r="16">
      <c r="A16" s="6" t="inlineStr">
        <is>
          <t>Verdict</t>
        </is>
      </c>
      <c r="B16" s="6">
        <f>IF(B11=0,"DO NOT CONSOLIDATE — fix the failing package first",IF(DecisionTest!$B$14&gt;=8,"CONSOLIDATE",IF(DecisionTest!$B$14&gt;=6,"CONSOLIDATE A SUBSET","DO NOT CONSOLIDATE — resource the interfaces")))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46" customWidth="1" min="4" max="4"/>
  </cols>
  <sheetData>
    <row r="1">
      <c r="A1" s="1" t="inlineStr">
        <is>
          <t>What five packages actually cost the client to carry</t>
        </is>
      </c>
    </row>
    <row r="2">
      <c r="A2" s="2" t="inlineStr">
        <is>
          <t>Interfaces grow as n(n−1)÷2. This is the number the wrap is compared against.</t>
        </is>
      </c>
    </row>
    <row r="4" ht="28" customHeight="1">
      <c r="A4" s="5" t="inlineStr">
        <is>
          <t>Measure</t>
        </is>
      </c>
      <c r="B4" s="5" t="inlineStr">
        <is>
          <t>With five</t>
        </is>
      </c>
      <c r="C4" s="5" t="inlineStr">
        <is>
          <t>After</t>
        </is>
      </c>
      <c r="D4" s="5" t="inlineStr">
        <is>
          <t>Note</t>
        </is>
      </c>
    </row>
    <row r="5">
      <c r="A5" s="8" t="inlineStr">
        <is>
          <t>Packages</t>
        </is>
      </c>
      <c r="B5" s="18" t="n">
        <v>5</v>
      </c>
      <c r="C5" s="18" t="n">
        <v>1</v>
      </c>
      <c r="D5" s="10" t="inlineStr">
        <is>
          <t>The prime becomes the single counterparty.</t>
        </is>
      </c>
    </row>
    <row r="6">
      <c r="A6" s="8" t="inlineStr">
        <is>
          <t>Interfaces between packages, n(n−1)÷2</t>
        </is>
      </c>
      <c r="B6" s="18">
        <f>5*(5-1)/2</f>
        <v/>
      </c>
      <c r="C6" s="18" t="n">
        <v>0</v>
      </c>
      <c r="D6" s="10" t="inlineStr">
        <is>
          <t>They do not disappear. They move inside the prime's scope and are priced there.</t>
        </is>
      </c>
    </row>
    <row r="7">
      <c r="A7" s="8" t="inlineStr">
        <is>
          <t>Interfaces with the main project</t>
        </is>
      </c>
      <c r="B7" s="18" t="n">
        <v>5</v>
      </c>
      <c r="C7" s="18" t="n">
        <v>1</v>
      </c>
      <c r="D7" s="10" t="inlineStr"/>
    </row>
    <row r="8">
      <c r="A8" s="8" t="inlineStr">
        <is>
          <t>Contracts administered</t>
        </is>
      </c>
      <c r="B8" s="18" t="n">
        <v>5</v>
      </c>
      <c r="C8" s="18" t="n">
        <v>1</v>
      </c>
      <c r="D8" s="10" t="inlineStr"/>
    </row>
    <row r="9">
      <c r="A9" s="8" t="inlineStr">
        <is>
          <t>Statutory notice deadlines per year (payment + pay-less)</t>
        </is>
      </c>
      <c r="B9" s="18">
        <f>5*12*2</f>
        <v/>
      </c>
      <c r="C9" s="18">
        <f>1*12*2</f>
        <v/>
      </c>
      <c r="D9" s="10" t="inlineStr">
        <is>
          <t>Miss one pay-less notice and the sum applied for is payable in full.</t>
        </is>
      </c>
    </row>
    <row r="11">
      <c r="A11" s="6" t="inlineStr">
        <is>
          <t>MANAGEMENT HOURS PER MONTH</t>
        </is>
      </c>
      <c r="B11" s="7" t="inlineStr"/>
      <c r="C11" s="7" t="inlineStr"/>
      <c r="D11" s="7" t="inlineStr"/>
    </row>
    <row r="12">
      <c r="A12" s="8" t="inlineStr">
        <is>
          <t>Contract administration</t>
        </is>
      </c>
      <c r="B12" s="19">
        <f>B8*Inputs!$B$21</f>
        <v/>
      </c>
      <c r="C12" s="19">
        <f>C8*Inputs!$B$21</f>
        <v/>
      </c>
      <c r="D12" s="10" t="inlineStr"/>
    </row>
    <row r="13">
      <c r="A13" s="8" t="inlineStr">
        <is>
          <t>Interfaces between packages</t>
        </is>
      </c>
      <c r="B13" s="19">
        <f>B6*Inputs!$B$22</f>
        <v/>
      </c>
      <c r="C13" s="19">
        <f>C6*Inputs!$B$22</f>
        <v/>
      </c>
      <c r="D13" s="10" t="inlineStr"/>
    </row>
    <row r="14">
      <c r="A14" s="8" t="inlineStr">
        <is>
          <t>Main-project interfaces</t>
        </is>
      </c>
      <c r="B14" s="19">
        <f>B7*Inputs!$B$23</f>
        <v/>
      </c>
      <c r="C14" s="19">
        <f>C7*Inputs!$B$23</f>
        <v/>
      </c>
      <c r="D14" s="10" t="inlineStr"/>
    </row>
    <row r="15">
      <c r="A15" s="6" t="inlineStr">
        <is>
          <t>Total hours per month</t>
        </is>
      </c>
      <c r="B15" s="20">
        <f>SUM(B12:B14)</f>
        <v/>
      </c>
      <c r="C15" s="20">
        <f>SUM(C12:C14)</f>
        <v/>
      </c>
      <c r="D15" s="10" t="inlineStr">
        <is>
          <t>At the all-in cost on Inputs, not a charge-out rate.</t>
        </is>
      </c>
    </row>
    <row r="17">
      <c r="A17" s="6" t="inlineStr">
        <is>
          <t>Management cost over the period</t>
        </is>
      </c>
      <c r="B17" s="21">
        <f>LoadModel!$B$15*Inputs!$B$20*Inputs!$B$24</f>
        <v/>
      </c>
      <c r="C17" s="21">
        <f>LoadModel!$C$15*Inputs!$B$20*Inputs!$B$24</f>
        <v/>
      </c>
      <c r="D17" s="22" t="inlineStr"/>
    </row>
    <row r="18">
      <c r="A18" s="6" t="inlineStr">
        <is>
          <t>Expected cost of missed notices over the period</t>
        </is>
      </c>
      <c r="B18" s="21">
        <f>B9/12*Inputs!$B$20*Inputs!$B$26*Inputs!$B$25</f>
        <v/>
      </c>
      <c r="C18" s="21">
        <f>C9/12*Inputs!$B$20*Inputs!$B$26*Inputs!$B$25</f>
        <v/>
      </c>
      <c r="D18" s="10" t="inlineStr">
        <is>
          <t>Probability × exposure. Not a worst case — an expected value.</t>
        </is>
      </c>
    </row>
    <row r="19">
      <c r="A19" s="6" t="inlineStr">
        <is>
          <t>TOTAL COST OF CARRYING THE LOAD</t>
        </is>
      </c>
      <c r="B19" s="21">
        <f>LoadModel!$B$17+LoadModel!$B$18</f>
        <v/>
      </c>
      <c r="C19" s="21">
        <f>LoadModel!$C$17+LoadModel!$C$18</f>
        <v/>
      </c>
      <c r="D19" s="22" t="inlineStr"/>
    </row>
    <row r="20">
      <c r="A20" s="6" t="inlineStr">
        <is>
          <t>Load cost avoided by consolidating</t>
        </is>
      </c>
      <c r="B20" s="21">
        <f>LoadModel!$B$19-LoadModel!$C$19</f>
        <v/>
      </c>
      <c r="C20" s="7" t="inlineStr"/>
      <c r="D20" s="10" t="inlineStr">
        <is>
          <t>Management hours and expected notice losses only.</t>
        </is>
      </c>
    </row>
    <row r="22">
      <c r="A22" s="6" t="inlineStr">
        <is>
          <t>DELAY RISK — the benefit that dwarfs the management hours</t>
        </is>
      </c>
      <c r="B22" s="7" t="inlineStr"/>
      <c r="C22" s="7" t="inlineStr"/>
      <c r="D22" s="7" t="inlineStr"/>
    </row>
    <row r="23">
      <c r="A23" s="23" t="inlineStr">
        <is>
          <t>Cost of one month of the village being late</t>
        </is>
      </c>
      <c r="B23" s="24">
        <f>Inputs!$B$28*30*Inputs!$B$29</f>
        <v/>
      </c>
      <c r="C23" s="25" t="inlineStr"/>
      <c r="D23" s="10" t="inlineStr">
        <is>
          <t>Beds x 30 days x the daily cost of not having one.</t>
        </is>
      </c>
    </row>
    <row r="24">
      <c r="A24" s="23" t="inlineStr">
        <is>
          <t>Expected delay cost, with five packages</t>
        </is>
      </c>
      <c r="B24" s="24">
        <f>LoadModel!$B$23*Inputs!$B$30*Inputs!$B$31</f>
        <v/>
      </c>
      <c r="C24" s="25" t="inlineStr"/>
      <c r="D24" s="22" t="inlineStr"/>
    </row>
    <row r="25">
      <c r="A25" s="23" t="inlineStr">
        <is>
          <t>Expected delay cost, after consolidation</t>
        </is>
      </c>
      <c r="B25" s="24">
        <f>LoadModel!$B$23*Inputs!$B$30*Inputs!$B$32</f>
        <v/>
      </c>
      <c r="C25" s="25" t="inlineStr"/>
      <c r="D25" s="22" t="inlineStr"/>
    </row>
    <row r="26">
      <c r="A26" s="6" t="inlineStr">
        <is>
          <t>Delay risk avoided</t>
        </is>
      </c>
      <c r="B26" s="21">
        <f>LoadModel!$B$24-LoadModel!$B$25</f>
        <v/>
      </c>
      <c r="C26" s="7" t="inlineStr"/>
      <c r="D26" s="10" t="inlineStr">
        <is>
          <t>This is what single-point accountability is actually bought for. It is larger than the management saving and it is the line that is never modelled.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20" customWidth="1" min="3" max="3"/>
    <col width="44" customWidth="1" min="4" max="4"/>
  </cols>
  <sheetData>
    <row r="1">
      <c r="A1" s="1" t="inlineStr">
        <is>
          <t>The wrap</t>
        </is>
      </c>
    </row>
    <row r="2">
      <c r="A2" s="2" t="inlineStr">
        <is>
          <t>Applied to the transferred value only — never to the prime's own package.</t>
        </is>
      </c>
    </row>
    <row r="4">
      <c r="A4" s="6" t="inlineStr">
        <is>
          <t>Transferred value (the packages actually moving)</t>
        </is>
      </c>
      <c r="B4" s="21">
        <f>IF(Inputs!$B$10&gt;=4,Inputs!$B$6+Inputs!$B$7+Inputs!$B$8+Inputs!$B$9,IF(Inputs!$B$10=3,Inputs!$B$6+Inputs!$B$7+Inputs!$B$8,IF(Inputs!$B$10=2,Inputs!$B$6+Inputs!$B$7,Inputs!$B$6)))</f>
        <v/>
      </c>
      <c r="C4" s="7" t="inlineStr"/>
      <c r="D4" s="10" t="inlineStr">
        <is>
          <t>Packages drop off from P4 upward as the transferred count falls.</t>
        </is>
      </c>
    </row>
    <row r="5">
      <c r="A5" s="6" t="inlineStr">
        <is>
          <t>The prime's own package, excluded</t>
        </is>
      </c>
      <c r="B5" s="21">
        <f>Inputs!$B$12</f>
        <v/>
      </c>
      <c r="C5" s="7" t="inlineStr"/>
      <c r="D5" s="10" t="inlineStr">
        <is>
          <t>Already competed in its own tender. A stack on this is the same money taken twice.</t>
        </is>
      </c>
    </row>
    <row r="7" ht="28" customHeight="1">
      <c r="A7" s="5" t="inlineStr">
        <is>
          <t>Stack line</t>
        </is>
      </c>
      <c r="B7" s="5" t="inlineStr">
        <is>
          <t>Rate</t>
        </is>
      </c>
      <c r="C7" s="5" t="inlineStr">
        <is>
          <t>Amount</t>
        </is>
      </c>
      <c r="D7" s="5" t="inlineStr">
        <is>
          <t>Note</t>
        </is>
      </c>
    </row>
    <row r="8">
      <c r="A8" s="23" t="inlineStr">
        <is>
          <t>Management and integration</t>
        </is>
      </c>
      <c r="B8" s="26">
        <f>Inputs!$B$14</f>
        <v/>
      </c>
      <c r="C8" s="27">
        <f>WrapCost!$B$4*Inputs!$B$14</f>
        <v/>
      </c>
      <c r="D8" s="10" t="inlineStr">
        <is>
          <t>The only line with a headcount behind it. Ask for names and time.</t>
        </is>
      </c>
    </row>
    <row r="9">
      <c r="A9" s="23" t="inlineStr">
        <is>
          <t>Corporate overhead recovery</t>
        </is>
      </c>
      <c r="B9" s="26">
        <f>Inputs!$B$15</f>
        <v/>
      </c>
      <c r="C9" s="27">
        <f>WrapCost!$B$4*Inputs!$B$15</f>
        <v/>
      </c>
      <c r="D9" s="10" t="inlineStr">
        <is>
          <t>Lower than a full prime contract — the prime already carries this.</t>
        </is>
      </c>
    </row>
    <row r="10">
      <c r="A10" s="23" t="inlineStr">
        <is>
          <t>Profit and prime risk</t>
        </is>
      </c>
      <c r="B10" s="26">
        <f>Inputs!$B$16</f>
        <v/>
      </c>
      <c r="C10" s="27">
        <f>WrapCost!$B$4*Inputs!$B$16</f>
        <v/>
      </c>
      <c r="D10" s="10" t="inlineStr">
        <is>
          <t>Should rise if a package is in difficulty and fall if all are performing.</t>
        </is>
      </c>
    </row>
    <row r="11">
      <c r="A11" s="23" t="inlineStr">
        <is>
          <t>Controlled contingency</t>
        </is>
      </c>
      <c r="B11" s="26">
        <f>Inputs!$B$17</f>
        <v/>
      </c>
      <c r="C11" s="27">
        <f>WrapCost!$B$4*Inputs!$B$17</f>
        <v/>
      </c>
      <c r="D11" s="10" t="inlineStr">
        <is>
          <t>Not profit. Drawn only against the joint register.</t>
        </is>
      </c>
    </row>
    <row r="12">
      <c r="A12" s="6" t="inlineStr">
        <is>
          <t>TOTAL ADDITION</t>
        </is>
      </c>
      <c r="B12" s="28">
        <f>SUM(B8:B11)</f>
        <v/>
      </c>
      <c r="C12" s="21">
        <f>SUM(C8:C11)</f>
        <v/>
      </c>
      <c r="D12" s="10" t="inlineStr">
        <is>
          <t>Playbook range 17–27%. Expect the lower half on competed prices in good order.</t>
        </is>
      </c>
    </row>
    <row r="13">
      <c r="A13" s="23" t="inlineStr">
        <is>
          <t>Less contingency expected back</t>
        </is>
      </c>
      <c r="B13" s="26">
        <f>Inputs!$B$18</f>
        <v/>
      </c>
      <c r="C13" s="27">
        <f>-WrapCost!$B$4*Inputs!$B$17*Inputs!$B$18</f>
        <v/>
      </c>
      <c r="D13" s="10" t="inlineStr">
        <is>
          <t>Unused contingency returned or shared. Zero this if the prime keeps it.</t>
        </is>
      </c>
    </row>
    <row r="14">
      <c r="A14" s="23" t="inlineStr">
        <is>
          <t>Transaction cost of the transfer</t>
        </is>
      </c>
      <c r="B14" s="25" t="inlineStr"/>
      <c r="C14" s="27">
        <f>Inputs!$B$36</f>
        <v/>
      </c>
      <c r="D14" s="10" t="inlineStr">
        <is>
          <t>Five deeds, four cut-off valuations, twelve weeks of management.</t>
        </is>
      </c>
    </row>
    <row r="15">
      <c r="A15" s="6" t="inlineStr">
        <is>
          <t>NET COST OF CONSOLIDATING</t>
        </is>
      </c>
      <c r="B15" s="7" t="inlineStr"/>
      <c r="C15" s="21">
        <f>WrapCost!$C$12+WrapCost!$C$13+WrapCost!$C$14</f>
        <v/>
      </c>
      <c r="D15" s="10" t="inlineStr">
        <is>
          <t>Compare against LoadModel — the cost avoided.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44" customWidth="1" min="4" max="4"/>
  </cols>
  <sheetData>
    <row r="1">
      <c r="A1" s="1" t="inlineStr">
        <is>
          <t>Liquidated damages: four caps become one</t>
        </is>
      </c>
    </row>
    <row r="2">
      <c r="A2" s="2" t="inlineStr">
        <is>
          <t>The prime will not raise this. It is a real reduction in what the client can recover.</t>
        </is>
      </c>
    </row>
    <row r="4" ht="28" customHeight="1">
      <c r="A4" s="5" t="inlineStr">
        <is>
          <t>Position</t>
        </is>
      </c>
      <c r="B4" s="5" t="inlineStr">
        <is>
          <t>Basis</t>
        </is>
      </c>
      <c r="C4" s="5" t="inlineStr">
        <is>
          <t>Recoverable</t>
        </is>
      </c>
      <c r="D4" s="5" t="inlineStr">
        <is>
          <t>Note</t>
        </is>
      </c>
    </row>
    <row r="5">
      <c r="A5" s="8" t="inlineStr">
        <is>
          <t>With five separate contracts</t>
        </is>
      </c>
      <c r="B5" s="27">
        <f>(Inputs!$B$6+Inputs!$B$7+Inputs!$B$8+Inputs!$B$9+Inputs!$B$12)*Inputs!$B$34</f>
        <v/>
      </c>
      <c r="C5" s="24">
        <f>B5*Inputs!$B$35</f>
        <v/>
      </c>
      <c r="D5" s="10" t="inlineStr">
        <is>
          <t>Five caps, five contracts, five independent claims.</t>
        </is>
      </c>
    </row>
    <row r="6">
      <c r="A6" s="8" t="inlineStr">
        <is>
          <t>After consolidation — one contract with the prime</t>
        </is>
      </c>
      <c r="B6" s="27">
        <f>(Inputs!$B$6+Inputs!$B$7+Inputs!$B$8+Inputs!$B$9+Inputs!$B$12)*Inputs!$B$34</f>
        <v/>
      </c>
      <c r="C6" s="24">
        <f>B6*Inputs!$B$35</f>
        <v/>
      </c>
      <c r="D6" s="10" t="inlineStr">
        <is>
          <t>One cap on the consolidated sum. Same percentage, one contract.</t>
        </is>
      </c>
    </row>
    <row r="7">
      <c r="A7" s="6" t="inlineStr">
        <is>
          <t>Difference</t>
        </is>
      </c>
      <c r="B7" s="7" t="inlineStr"/>
      <c r="C7" s="21">
        <f>LDImpact!$C$6-LDImpact!$C$5</f>
        <v/>
      </c>
      <c r="D7" s="10" t="inlineStr">
        <is>
          <t>Zero where the cap is a percentage of the whole. It is NOT zero where the prime negotiates a cap in absolute terms — model that below.</t>
        </is>
      </c>
    </row>
    <row r="9">
      <c r="A9" s="6" t="inlineStr">
        <is>
          <t>IF THE PRIME NEGOTIATES AN ABSOLUTE CAP</t>
        </is>
      </c>
      <c r="B9" s="7" t="inlineStr"/>
      <c r="C9" s="7" t="inlineStr"/>
      <c r="D9" s="7" t="inlineStr"/>
    </row>
    <row r="10">
      <c r="A10" s="23" t="inlineStr">
        <is>
          <t>Absolute cap the prime asks for</t>
        </is>
      </c>
      <c r="B10" s="9" t="n">
        <v>500000</v>
      </c>
      <c r="C10" s="25" t="inlineStr"/>
      <c r="D10" s="10" t="inlineStr">
        <is>
          <t>A single sum, not a percentage. This is the ask to watch for.</t>
        </is>
      </c>
    </row>
    <row r="11">
      <c r="A11" s="23" t="inlineStr">
        <is>
          <t>Recoverable under an absolute cap</t>
        </is>
      </c>
      <c r="B11" s="25" t="inlineStr"/>
      <c r="C11" s="24">
        <f>MIN(LDImpact!$B$10,LDImpact!$C$5)</f>
        <v/>
      </c>
      <c r="D11" s="10" t="inlineStr"/>
    </row>
    <row r="12">
      <c r="A12" s="6" t="inlineStr">
        <is>
          <t>LOST RECOVERY</t>
        </is>
      </c>
      <c r="B12" s="7" t="inlineStr"/>
      <c r="C12" s="21">
        <f>LDImpact!$C$5-LDImpact!$C$11</f>
        <v/>
      </c>
      <c r="D12" s="10" t="inlineStr">
        <is>
          <t>Add this to the cost of consolidating. It is as real as the wrap and it is never on the invoice.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46" customWidth="1" min="3" max="3"/>
  </cols>
  <sheetData>
    <row r="1">
      <c r="A1" s="1" t="inlineStr">
        <is>
          <t>The answer</t>
        </is>
      </c>
    </row>
    <row r="2">
      <c r="A2" s="2" t="inlineStr">
        <is>
          <t>Three numbers, and whether the trade is worth it.</t>
        </is>
      </c>
    </row>
    <row r="4" ht="28" customHeight="1">
      <c r="A4" s="5" t="inlineStr"/>
      <c r="B4" s="5" t="inlineStr">
        <is>
          <t>Amount</t>
        </is>
      </c>
      <c r="C4" s="5" t="inlineStr">
        <is>
          <t>Where it comes from</t>
        </is>
      </c>
    </row>
    <row r="5">
      <c r="A5" s="23" t="inlineStr">
        <is>
          <t>Load cost avoided by consolidating</t>
        </is>
      </c>
      <c r="B5" s="24">
        <f>LoadModel!$B$20</f>
        <v/>
      </c>
      <c r="C5" s="10" t="inlineStr">
        <is>
          <t>LoadModel — management hours and expected notice losses</t>
        </is>
      </c>
    </row>
    <row r="6">
      <c r="A6" s="23" t="inlineStr">
        <is>
          <t>Delay risk avoided</t>
        </is>
      </c>
      <c r="B6" s="24">
        <f>LoadModel!$B$26</f>
        <v/>
      </c>
      <c r="C6" s="10" t="inlineStr">
        <is>
          <t>LoadModel — the larger of the two benefits, and the one usually left out</t>
        </is>
      </c>
    </row>
    <row r="7">
      <c r="A7" s="23" t="inlineStr">
        <is>
          <t>Net cost of consolidating</t>
        </is>
      </c>
      <c r="B7" s="24">
        <f>-WrapCost!$C$15</f>
        <v/>
      </c>
      <c r="C7" s="10" t="inlineStr">
        <is>
          <t>WrapCost — the stack, less contingency returned, plus the transaction cost</t>
        </is>
      </c>
    </row>
    <row r="8">
      <c r="A8" s="23" t="inlineStr">
        <is>
          <t>Liquidated damages recovery lost</t>
        </is>
      </c>
      <c r="B8" s="24">
        <f>-LDImpact!$C$12</f>
        <v/>
      </c>
      <c r="C8" s="10" t="inlineStr">
        <is>
          <t>LDImpact — only where the prime negotiates an absolute cap</t>
        </is>
      </c>
    </row>
    <row r="9">
      <c r="A9" s="6" t="inlineStr">
        <is>
          <t>NET POSITION</t>
        </is>
      </c>
      <c r="B9" s="21">
        <f>Verdict!$B$5+Verdict!$B$6+Verdict!$B$7+Verdict!$B$8</f>
        <v/>
      </c>
      <c r="C9" s="10" t="inlineStr">
        <is>
          <t>Positive: the measurable benefits exceed the wrap. Negative: they do not — read the break-even below before concluding anything.</t>
        </is>
      </c>
    </row>
    <row r="11">
      <c r="A11" s="6" t="inlineStr">
        <is>
          <t>Total measurable benefit</t>
        </is>
      </c>
      <c r="B11" s="21">
        <f>Verdict!$B$5+Verdict!$B$6-LDImpact!$C$12</f>
        <v/>
      </c>
      <c r="C11" s="10" t="inlineStr">
        <is>
          <t>Management, notices and delay risk, less the liquidated damages recovery given up.</t>
        </is>
      </c>
    </row>
    <row r="12">
      <c r="A12" s="6" t="inlineStr">
        <is>
          <t>BREAK-EVEN WRAP RATE</t>
        </is>
      </c>
      <c r="B12" s="28">
        <f>(Verdict!$B$11-Inputs!$B$36)/WrapCost!$B$4</f>
        <v/>
      </c>
      <c r="C12" s="10" t="inlineStr">
        <is>
          <t>The gross stack rate at which consolidation pays for itself on measurable expected value alone. Negotiate toward it, knowing the market sits well above it.</t>
        </is>
      </c>
    </row>
    <row r="13">
      <c r="A13" s="23" t="inlineStr">
        <is>
          <t>The rate actually offered</t>
        </is>
      </c>
      <c r="B13" s="29">
        <f>WrapCost!$B$12</f>
        <v/>
      </c>
      <c r="C13" s="10" t="inlineStr">
        <is>
          <t>WrapCost</t>
        </is>
      </c>
    </row>
    <row r="14">
      <c r="A14" s="6" t="inlineStr">
        <is>
          <t>The gap, in money</t>
        </is>
      </c>
      <c r="B14" s="21">
        <f>(WrapCost!$B$12-Verdict!$B$12)*WrapCost!$B$4</f>
        <v/>
      </c>
      <c r="C14" s="10" t="inlineStr">
        <is>
          <t>What the client pays above measurable expected value. It is not waste — it is the price of certainty and of management capacity that cannot be hired. But it should be paid knowingly.</t>
        </is>
      </c>
    </row>
    <row r="16">
      <c r="A16" s="6" t="inlineStr">
        <is>
          <t>Decision test verdict</t>
        </is>
      </c>
      <c r="B16" s="6">
        <f>DecisionTest!$B$16</f>
        <v/>
      </c>
      <c r="C16" s="10" t="inlineStr">
        <is>
          <t>DecisionTest</t>
        </is>
      </c>
    </row>
    <row r="17">
      <c r="A17" s="6" t="inlineStr">
        <is>
          <t>THE ANSWER</t>
        </is>
      </c>
      <c r="B17" s="6">
        <f>IF(DecisionTest!$B$11=0,"NO — fix the failing package first. The numbers below are not the question.",IF(AND(DecisionTest!$B$14&gt;=8,Verdict!$B$9&gt;0),"YES — consolidate. The load costs more than the wrap.",IF(AND(DecisionTest!$B$14&gt;=8,Verdict!$B$9&lt;=0),"CONSOLIDATE ON JUDGEMENT, NOT ON THIS MODEL — the load is real but the wrap does not pay for itself on these numbers.",IF(DecisionTest!$B$14&gt;=6,"CONSOLIDATE A SUBSET — see playbook 6.4.","NO — resource the interfaces instead."))))</f>
        <v/>
      </c>
      <c r="C17" s="10" t="inlineStr">
        <is>
          <t>The score and the money have to agree. Where they do not, the sheet says so rather than picking one.</t>
        </is>
      </c>
    </row>
    <row r="19">
      <c r="A19" s="23" t="inlineStr">
        <is>
          <t>A caution, and it is the point of the model</t>
        </is>
      </c>
    </row>
    <row r="20">
      <c r="A20" s="2" t="inlineStr">
        <is>
          <t>A positive net position is not a reason to consolidate a performance problem, and the model refuses to give one.</t>
        </is>
      </c>
    </row>
    <row r="21">
      <c r="A21" s="2" t="inlineStr">
        <is>
          <t>A negative net position is not a reason to refuse a consolidation the decision test says you need: management capacity</t>
        </is>
      </c>
    </row>
    <row r="22">
      <c r="A22" s="2" t="inlineStr">
        <is>
          <t>you do not have cannot be bought at any rate on the Inputs sheet, and the model cannot see that.</t>
        </is>
      </c>
    </row>
    <row r="23">
      <c r="A23" s="2" t="inlineStr">
        <is>
          <t>The numbers are here so the decision is argued about with them, not instead of them.</t>
        </is>
      </c>
    </row>
    <row r="24">
      <c r="A24" s="2" t="inlineStr"/>
    </row>
    <row r="25">
      <c r="A25" s="2" t="inlineStr">
        <is>
          <t>EXPECT THE NET POSITION TO BE NEGATIVE. On measurable expected value a market-rate wrap almost never pays for</t>
        </is>
      </c>
    </row>
    <row r="26">
      <c r="A26" s="2" t="inlineStr">
        <is>
          <t>itself, and a model that produced a positive number here would be flattering the decision rather than testing it.</t>
        </is>
      </c>
    </row>
    <row r="27">
      <c r="A27" s="2" t="inlineStr">
        <is>
          <t>What the client buys above the break-even rate is certainty and capacity: single-point accountability, and a management</t>
        </is>
      </c>
    </row>
    <row r="28">
      <c r="A28" s="2" t="inlineStr">
        <is>
          <t>team it could not hire, assemble and hold for the duration at any rate on the Inputs sheet. That is a real purchase and</t>
        </is>
      </c>
    </row>
    <row r="29">
      <c r="A29" s="2" t="inlineStr">
        <is>
          <t>it is a legitimate one. It is also the number to take into the negotiation at playbook 8.2 — because a prime that knows</t>
        </is>
      </c>
    </row>
    <row r="30">
      <c r="A30" s="2" t="inlineStr">
        <is>
          <t>the client has done this arithmetic prices differently from one that assumes it has not.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2026-09-08T06:11:13Z</dcterms:created>
  <dcterms:modified xmlns:dcterms="http://purl.org/dc/terms/" xmlns:xsi="http://www.w3.org/2001/XMLSchema-instance" xsi:type="dcterms:W3CDTF">2026-09-08T06:11:13Z</dcterms:modified>
</cp:coreProperties>
</file>