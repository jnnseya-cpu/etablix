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riteria" sheetId="2" state="visible" r:id="rId2"/>
    <sheet xmlns:r="http://schemas.openxmlformats.org/officeDocument/2006/relationships" name="Prices" sheetId="3" state="visible" r:id="rId3"/>
    <sheet xmlns:r="http://schemas.openxmlformats.org/officeDocument/2006/relationships" name="Scores" sheetId="4" state="visible" r:id="rId4"/>
    <sheet xmlns:r="http://schemas.openxmlformats.org/officeDocument/2006/relationships" name="Result"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12">
    <font>
      <name val="Calibri"/>
      <family val="2"/>
      <color theme="1"/>
      <sz val="11"/>
      <scheme val="minor"/>
    </font>
    <font>
      <name val="Arial"/>
      <b val="1"/>
      <color rgb="0014181D"/>
      <sz val="14"/>
    </font>
    <font>
      <name val="Arial"/>
      <color rgb="005B6672"/>
      <sz val="9"/>
    </font>
    <font>
      <name val="Arial"/>
      <b val="1"/>
      <sz val="10"/>
    </font>
    <font>
      <name val="Arial"/>
      <sz val="10"/>
    </font>
    <font>
      <name val="Arial"/>
      <color rgb="000000FF"/>
      <sz val="10"/>
    </font>
    <font>
      <name val="Arial"/>
      <b val="1"/>
      <color rgb="00C0392B"/>
      <sz val="10"/>
    </font>
    <font>
      <name val="Arial"/>
      <color rgb="00008000"/>
      <sz val="10"/>
    </font>
    <font>
      <name val="Arial"/>
      <b val="1"/>
      <color rgb="00FFFFFF"/>
      <sz val="11"/>
    </font>
    <font>
      <name val="Arial"/>
      <i val="1"/>
      <sz val="9"/>
    </font>
    <font>
      <name val="Arial"/>
      <b val="1"/>
      <color rgb="00C0392B"/>
      <sz val="11"/>
    </font>
    <font>
      <name val="Arial"/>
      <i val="1"/>
      <color rgb="00C0392B"/>
      <sz val="9"/>
    </font>
  </fonts>
  <fills count="7">
    <fill>
      <patternFill/>
    </fill>
    <fill>
      <patternFill patternType="gray125"/>
    </fill>
    <fill>
      <patternFill patternType="solid">
        <fgColor rgb="00FDEDEC"/>
      </patternFill>
    </fill>
    <fill>
      <patternFill patternType="solid">
        <fgColor rgb="00EDE7DA"/>
      </patternFill>
    </fill>
    <fill>
      <patternFill patternType="solid">
        <fgColor rgb="00FFF9C4"/>
      </patternFill>
    </fill>
    <fill>
      <patternFill patternType="solid">
        <fgColor rgb="00F2EFE7"/>
      </patternFill>
    </fill>
    <fill>
      <patternFill patternType="solid">
        <fgColor rgb="0014181D"/>
      </patternFill>
    </fill>
  </fills>
  <borders count="3">
    <border>
      <left/>
      <right/>
      <top/>
      <bottom/>
      <diagonal/>
    </border>
    <border>
      <bottom style="medium">
        <color rgb="0014181D"/>
      </bottom>
    </border>
    <border>
      <left style="thin">
        <color rgb="00D5D5D5"/>
      </left>
      <right style="thin">
        <color rgb="00D5D5D5"/>
      </right>
      <top style="thin">
        <color rgb="00D5D5D5"/>
      </top>
      <bottom style="thin">
        <color rgb="00D5D5D5"/>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pivotButton="0" quotePrefix="0" xfId="0"/>
    <xf numFmtId="0" fontId="4" fillId="2" borderId="0" applyAlignment="1" pivotButton="0" quotePrefix="0" xfId="0">
      <alignment vertical="top" wrapText="1"/>
    </xf>
    <xf numFmtId="0" fontId="3" fillId="3" borderId="1" pivotButton="0" quotePrefix="0" xfId="0"/>
    <xf numFmtId="0" fontId="3" fillId="0" borderId="2" pivotButton="0" quotePrefix="0" xfId="0"/>
    <xf numFmtId="0" fontId="4" fillId="0" borderId="2" pivotButton="0" quotePrefix="0" xfId="0"/>
    <xf numFmtId="164" fontId="5" fillId="4" borderId="2" pivotButton="0" quotePrefix="0" xfId="0"/>
    <xf numFmtId="0" fontId="2" fillId="0" borderId="2" applyAlignment="1" pivotButton="0" quotePrefix="0" xfId="0">
      <alignment vertical="top" wrapText="1"/>
    </xf>
    <xf numFmtId="164" fontId="3" fillId="5" borderId="0" pivotButton="0" quotePrefix="0" xfId="0"/>
    <xf numFmtId="164" fontId="5" fillId="4" borderId="0" pivotButton="0" quotePrefix="0" xfId="0"/>
    <xf numFmtId="0" fontId="2" fillId="0" borderId="0" applyAlignment="1" pivotButton="0" quotePrefix="0" xfId="0">
      <alignment vertical="top" wrapText="1"/>
    </xf>
    <xf numFmtId="0" fontId="6" fillId="0" borderId="0" pivotButton="0" quotePrefix="0" xfId="0"/>
    <xf numFmtId="0" fontId="5" fillId="4" borderId="0" applyAlignment="1" pivotButton="0" quotePrefix="0" xfId="0">
      <alignment horizontal="center"/>
    </xf>
    <xf numFmtId="165" fontId="5" fillId="4" borderId="2" pivotButton="0" quotePrefix="0" xfId="0"/>
    <xf numFmtId="165" fontId="3" fillId="5" borderId="0" pivotButton="0" quotePrefix="0" xfId="0"/>
    <xf numFmtId="165" fontId="4" fillId="0" borderId="0" pivotButton="0" quotePrefix="0" xfId="0"/>
    <xf numFmtId="2" fontId="3" fillId="5" borderId="0" applyAlignment="1" pivotButton="0" quotePrefix="0" xfId="0">
      <alignment horizontal="center"/>
    </xf>
    <xf numFmtId="0" fontId="6" fillId="0" borderId="0" applyAlignment="1" pivotButton="0" quotePrefix="0" xfId="0">
      <alignment horizontal="center"/>
    </xf>
    <xf numFmtId="0" fontId="7" fillId="3" borderId="0" applyAlignment="1" pivotButton="0" quotePrefix="0" xfId="0">
      <alignment horizontal="center"/>
    </xf>
    <xf numFmtId="0" fontId="3" fillId="3" borderId="0" pivotButton="0" quotePrefix="0" xfId="0"/>
    <xf numFmtId="0" fontId="7" fillId="0" borderId="0" pivotButton="0" quotePrefix="0" xfId="0"/>
    <xf numFmtId="1" fontId="5" fillId="4" borderId="2" applyAlignment="1" pivotButton="0" quotePrefix="0" xfId="0">
      <alignment horizontal="center"/>
    </xf>
    <xf numFmtId="0" fontId="5" fillId="0" borderId="0" applyAlignment="1" pivotButton="0" quotePrefix="0" xfId="0">
      <alignment vertical="top" wrapText="1"/>
    </xf>
    <xf numFmtId="165" fontId="4" fillId="0" borderId="0" applyAlignment="1" pivotButton="0" quotePrefix="0" xfId="0">
      <alignment horizontal="center"/>
    </xf>
    <xf numFmtId="2" fontId="4" fillId="0" borderId="0" applyAlignment="1" pivotButton="0" quotePrefix="0" xfId="0">
      <alignment horizontal="center"/>
    </xf>
    <xf numFmtId="166" fontId="3" fillId="5" borderId="0" applyAlignment="1" pivotButton="0" quotePrefix="0" xfId="0">
      <alignment horizontal="center"/>
    </xf>
    <xf numFmtId="0" fontId="3" fillId="0" borderId="0" applyAlignment="1" pivotButton="0" quotePrefix="0" xfId="0">
      <alignment horizontal="center"/>
    </xf>
    <xf numFmtId="166" fontId="3" fillId="0" borderId="0" pivotButton="0" quotePrefix="0" xfId="0"/>
    <xf numFmtId="164" fontId="3" fillId="0" borderId="0" pivotButton="0" quotePrefix="0" xfId="0"/>
    <xf numFmtId="0" fontId="8" fillId="6" borderId="0" applyAlignment="1" pivotButton="0" quotePrefix="0" xfId="0">
      <alignment vertical="center"/>
    </xf>
    <xf numFmtId="0" fontId="9" fillId="0" borderId="0" pivotButton="0" quotePrefix="0" xfId="0"/>
    <xf numFmtId="9" fontId="5" fillId="0" borderId="0" pivotButton="0" quotePrefix="0" xfId="0"/>
    <xf numFmtId="166" fontId="4" fillId="0" borderId="0" applyAlignment="1" pivotButton="0" quotePrefix="0" xfId="0">
      <alignment horizontal="center"/>
    </xf>
    <xf numFmtId="0" fontId="10" fillId="0" borderId="0" pivotButton="0" quotePrefix="0" xfId="0"/>
    <xf numFmtId="0" fontId="11" fillId="0" borderId="0" pivotButton="0" quotePrefix="0" xfId="0"/>
    <xf numFmtId="0" fontId="3" fillId="3" borderId="1" applyAlignment="1" pivotButton="0" quotePrefix="0" xfId="0">
      <alignment horizontal="center" vertical="bottom" wrapText="1"/>
    </xf>
    <xf numFmtId="164"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0"/>
  <sheetViews>
    <sheetView showGridLines="0" workbookViewId="0">
      <selection activeCell="A1" sqref="A1"/>
    </sheetView>
  </sheetViews>
  <sheetFormatPr baseColWidth="8" defaultRowHeight="15"/>
  <cols>
    <col width="3" customWidth="1" min="1" max="1"/>
    <col width="30" customWidth="1" min="2" max="2"/>
    <col width="100" customWidth="1" min="3" max="3"/>
  </cols>
  <sheetData>
    <row r="2">
      <c r="B2" s="1" t="inlineStr">
        <is>
          <t>TENDER EVALUATION MODEL</t>
        </is>
      </c>
    </row>
    <row r="3">
      <c r="B3" s="2" t="inlineStr">
        <is>
          <t>ETABLIX — Integrated Site Services, part of Groupe Nseya</t>
        </is>
      </c>
    </row>
    <row r="6" ht="30" customHeight="1">
      <c r="B6" s="3" t="inlineStr">
        <is>
          <t>WHAT IT DOES</t>
        </is>
      </c>
      <c r="C6" s="4" t="inlineStr">
        <is>
          <t>Scores quality against published criteria, normalises price, combines the two on the published split, and then asks the question that decides whether an award will survive being challenged: would a different weighting have picked a different winner?</t>
        </is>
      </c>
    </row>
    <row r="7" ht="14" customHeight="1">
      <c r="B7" s="5" t="inlineStr"/>
      <c r="C7" s="4" t="inlineStr"/>
    </row>
    <row r="8" ht="14" customHeight="1">
      <c r="B8" s="3" t="inlineStr">
        <is>
          <t>THE ORDER</t>
        </is>
      </c>
      <c r="C8" s="4" t="inlineStr">
        <is>
          <t>1. Criteria — set the criteria and weightings BEFORE tenders are opened, and publish them in the ITT.</t>
        </is>
      </c>
    </row>
    <row r="9" ht="14" customHeight="1">
      <c r="B9" s="5" t="inlineStr"/>
      <c r="C9" s="4" t="inlineStr">
        <is>
          <t>2. Scores — each evaluator scores each tenderer against each criterion, 0 to 5, with a written reason.</t>
        </is>
      </c>
    </row>
    <row r="10" ht="14" customHeight="1">
      <c r="B10" s="5" t="inlineStr"/>
      <c r="C10" s="4" t="inlineStr">
        <is>
          <t>3. Prices — enter tendered prices exactly as returned, before any negotiation.</t>
        </is>
      </c>
    </row>
    <row r="11" ht="14" customHeight="1">
      <c r="B11" s="5" t="inlineStr"/>
      <c r="C11" s="4" t="inlineStr">
        <is>
          <t>4. Result — the combined score, the ranking, and the margin between first and second.</t>
        </is>
      </c>
    </row>
    <row r="12" ht="30" customHeight="1">
      <c r="B12" s="5" t="inlineStr"/>
      <c r="C12" s="4" t="inlineStr">
        <is>
          <t>5. Sensitivity — the test that matters. If a small change in weighting flips the winner, the award is fragile and you need to know now.</t>
        </is>
      </c>
    </row>
    <row r="13" ht="14" customHeight="1">
      <c r="B13" s="5" t="inlineStr"/>
      <c r="C13" s="4" t="inlineStr"/>
    </row>
    <row r="14" ht="30" customHeight="1">
      <c r="B14" s="3" t="inlineStr">
        <is>
          <t>THE RULE THAT MATTERS</t>
        </is>
      </c>
      <c r="C14" s="6" t="inlineStr">
        <is>
          <t>Weightings are set and published before tenders are opened, and are not changed afterwards. A weighting adjusted once the prices are known is not an evaluation, it is a justification, and it is the single commonest reason an award is successfully challenged.</t>
        </is>
      </c>
    </row>
    <row r="15" ht="14" customHeight="1">
      <c r="B15" s="5" t="inlineStr"/>
      <c r="C15" s="4" t="inlineStr"/>
    </row>
    <row r="16" ht="30" customHeight="1">
      <c r="B16" s="3" t="inlineStr">
        <is>
          <t>SCORING</t>
        </is>
      </c>
      <c r="C16" s="4" t="inlineStr">
        <is>
          <t>0 — no response, or wholly non-compliant.   1 — poor, major concerns.   2 — below the requirement.   3 — meets the requirement.   4 — above the requirement, evidenced.   5 — excellent, evidenced, adds value.
A score of 3 is a pass. Scores of 4 and 5 require evidence in the tender, not an impression of the tenderer.</t>
        </is>
      </c>
    </row>
    <row r="17" ht="14" customHeight="1">
      <c r="B17" s="5" t="inlineStr"/>
      <c r="C17" s="4" t="inlineStr"/>
    </row>
    <row r="18" ht="30" customHeight="1">
      <c r="B18" s="3" t="inlineStr">
        <is>
          <t>PRICE</t>
        </is>
      </c>
      <c r="C18" s="4" t="inlineStr">
        <is>
          <t>Lowest compliant price scores full marks; the others score in proportion. Set out in the ITT so nobody is surprised. An abnormally low tender is flagged rather than accepted: the check is on the Result sheet and the duty is to ask, not to assume.</t>
        </is>
      </c>
    </row>
    <row r="19" ht="14" customHeight="1">
      <c r="B19" s="5" t="inlineStr"/>
      <c r="C19" s="4" t="inlineStr"/>
    </row>
    <row r="20" ht="30" customHeight="1">
      <c r="B20" s="3" t="inlineStr">
        <is>
          <t>AUDIT</t>
        </is>
      </c>
      <c r="C20" s="4" t="inlineStr">
        <is>
          <t>Every score carries the evaluator's name and a written reason. Moderation is recorded as a change from the raw score with its own reason. If you cannot explain a score to the tenderer who lost, it is not yet a 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18"/>
  <sheetViews>
    <sheetView showGridLines="0" workbookViewId="0">
      <selection activeCell="A1" sqref="A1"/>
    </sheetView>
  </sheetViews>
  <sheetFormatPr baseColWidth="8" defaultRowHeight="15"/>
  <cols>
    <col width="4" customWidth="1" min="1" max="1"/>
    <col width="10" customWidth="1" min="2" max="2"/>
    <col width="46" customWidth="1" min="3" max="3"/>
    <col width="13" customWidth="1" min="4" max="4"/>
    <col width="70" customWidth="1" min="5" max="5"/>
  </cols>
  <sheetData>
    <row r="2">
      <c r="B2" s="1" t="inlineStr">
        <is>
          <t>EVALUATION CRITERIA AND WEIGHTINGS</t>
        </is>
      </c>
    </row>
    <row r="3">
      <c r="B3" s="2" t="inlineStr">
        <is>
          <t>Set and published in the ITT before tenders are opened. Blue cells are yours. The weightings must total 100%.</t>
        </is>
      </c>
    </row>
    <row r="5">
      <c r="B5" s="7" t="inlineStr">
        <is>
          <t>Ref</t>
        </is>
      </c>
      <c r="C5" s="7" t="inlineStr">
        <is>
          <t>Criterion</t>
        </is>
      </c>
      <c r="D5" s="39" t="inlineStr">
        <is>
          <t>Weighting
within quality</t>
        </is>
      </c>
      <c r="E5" s="7" t="inlineStr">
        <is>
          <t>What a score of 3 looks like — the pass mark</t>
        </is>
      </c>
    </row>
    <row r="6" ht="26" customHeight="1">
      <c r="B6" s="8" t="inlineStr">
        <is>
          <t>Q1</t>
        </is>
      </c>
      <c r="C6" s="9" t="inlineStr">
        <is>
          <t>Understanding of the scope and its interfaces</t>
        </is>
      </c>
      <c r="D6" s="10" t="n">
        <v>0.19</v>
      </c>
      <c r="E6" s="11" t="inlineStr">
        <is>
          <t>Identifies the package boundaries and names what is handed over to and from each adjacent package. A tenderer who has not read the interface schedule scores 2.</t>
        </is>
      </c>
    </row>
    <row r="7" ht="26" customHeight="1">
      <c r="B7" s="8" t="inlineStr">
        <is>
          <t>Q2</t>
        </is>
      </c>
      <c r="C7" s="9" t="inlineStr">
        <is>
          <t>Method statement and buildability</t>
        </is>
      </c>
      <c r="D7" s="10" t="n">
        <v>0.19</v>
      </c>
      <c r="E7" s="11" t="inlineStr">
        <is>
          <t>A method that is specific to this site and this programme, not a generic capability statement with the project name changed.</t>
        </is>
      </c>
    </row>
    <row r="8" ht="26" customHeight="1">
      <c r="B8" s="8" t="inlineStr">
        <is>
          <t>Q3</t>
        </is>
      </c>
      <c r="C8" s="9" t="inlineStr">
        <is>
          <t>Programme and resource realism</t>
        </is>
      </c>
      <c r="D8" s="10" t="n">
        <v>0.15</v>
      </c>
      <c r="E8" s="11" t="inlineStr">
        <is>
          <t>Resources match the durations offered. A programme that cannot be resourced from the histogram provided scores 2 however attractive its end date.</t>
        </is>
      </c>
    </row>
    <row r="9" ht="26" customHeight="1">
      <c r="B9" s="8" t="inlineStr">
        <is>
          <t>Q4</t>
        </is>
      </c>
      <c r="C9" s="9" t="inlineStr">
        <is>
          <t>Key personnel and their availability</t>
        </is>
      </c>
      <c r="D9" s="10" t="n">
        <v>0.1</v>
      </c>
      <c r="E9" s="11" t="inlineStr">
        <is>
          <t>Named individuals with relevant experience, and a stated percentage of their time on this contract.</t>
        </is>
      </c>
    </row>
    <row r="10" ht="26" customHeight="1">
      <c r="B10" s="8" t="inlineStr">
        <is>
          <t>Q5</t>
        </is>
      </c>
      <c r="C10" s="9" t="inlineStr">
        <is>
          <t>Health, safety and environmental approach</t>
        </is>
      </c>
      <c r="D10" s="10" t="n">
        <v>0.12</v>
      </c>
      <c r="E10" s="11" t="inlineStr">
        <is>
          <t>Specific to the hazards of this scope. Accident statistics alone score 2.</t>
        </is>
      </c>
    </row>
    <row r="11" ht="26" customHeight="1">
      <c r="B11" s="8" t="inlineStr">
        <is>
          <t>Q6</t>
        </is>
      </c>
      <c r="C11" s="9" t="inlineStr">
        <is>
          <t>Quality, inspection and handover</t>
        </is>
      </c>
      <c r="D11" s="10" t="n">
        <v>0.1</v>
      </c>
      <c r="E11" s="11" t="inlineStr">
        <is>
          <t>An ITP proportionate to the works, and a handover pack defined at tender rather than negotiated at completion.</t>
        </is>
      </c>
    </row>
    <row r="12" ht="26" customHeight="1">
      <c r="B12" s="8" t="inlineStr">
        <is>
          <t>Q7</t>
        </is>
      </c>
      <c r="C12" s="9" t="inlineStr">
        <is>
          <t>Supply chain and delivery security</t>
        </is>
      </c>
      <c r="D12" s="10" t="n">
        <v>0.09</v>
      </c>
      <c r="E12" s="11" t="inlineStr">
        <is>
          <t>Named suppliers for long-lead items with lead times stated and evidenced.</t>
        </is>
      </c>
    </row>
    <row r="13" ht="26" customHeight="1">
      <c r="B13" s="8" t="inlineStr">
        <is>
          <t>Q8</t>
        </is>
      </c>
      <c r="C13" s="9" t="inlineStr">
        <is>
          <t>Social value and local employment</t>
        </is>
      </c>
      <c r="D13" s="10" t="n">
        <v>0.06</v>
      </c>
      <c r="E13" s="11" t="inlineStr">
        <is>
          <t>Commitments that are measurable and reportable, not aspirations.</t>
        </is>
      </c>
    </row>
    <row r="14">
      <c r="C14" s="3" t="inlineStr">
        <is>
          <t>QUALITY CRITERIA — TOTAL (must be 100%)</t>
        </is>
      </c>
      <c r="D14" s="12">
        <f>SUM(D6:D13)</f>
        <v/>
      </c>
      <c r="E14" s="2" t="inlineStr">
        <is>
          <t>These are shares of the quality element, not of the whole evaluation. The quality/price split is set below.</t>
        </is>
      </c>
    </row>
    <row r="15" ht="30" customHeight="1">
      <c r="B15" s="3" t="inlineStr"/>
      <c r="C15" s="3" t="inlineStr">
        <is>
          <t>QUALITY / PRICE SPLIT — quality share</t>
        </is>
      </c>
      <c r="D15" s="13" t="n">
        <v>0.6</v>
      </c>
      <c r="E15" s="14" t="inlineStr">
        <is>
          <t>The split is a decision, not a default. Where the risk is interface failure rather than rate, a higher quality share buys a better outcome — and you must be able to say why you chose it, before tenders are opened.</t>
        </is>
      </c>
    </row>
    <row r="16">
      <c r="C16" s="3" t="inlineStr">
        <is>
          <t xml:space="preserve">                                                    price share</t>
        </is>
      </c>
      <c r="D16" s="40">
        <f>1-D15</f>
        <v/>
      </c>
      <c r="E16" s="2" t="inlineStr">
        <is>
          <t>Follows from the quality share. The two always total 100%.</t>
        </is>
      </c>
    </row>
    <row r="17">
      <c r="C17" s="3" t="inlineStr">
        <is>
          <t>Check</t>
        </is>
      </c>
      <c r="D17" s="15">
        <f>IF(ROUND(D14,4)&lt;&gt;1,"ERROR: quality criteria total "&amp;TEXT(D14,"0.0%")&amp;" — they must total 100%",IF(ROUND(D15+D16,4)&lt;&gt;1,"ERROR: the split does not total 100%","Correct — criteria total 100%, split totals 100%"))</f>
        <v/>
      </c>
    </row>
    <row r="18"/>
  </sheetData>
  <mergeCells count="1">
    <mergeCell ref="D17:E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J18"/>
  <sheetViews>
    <sheetView showGridLines="0" workbookViewId="0">
      <selection activeCell="A1" sqref="A1"/>
    </sheetView>
  </sheetViews>
  <sheetFormatPr baseColWidth="8" defaultRowHeight="15"/>
  <cols>
    <col width="4" customWidth="1" min="1" max="1"/>
    <col width="6" customWidth="1" min="2" max="2"/>
    <col width="42" customWidth="1" min="3" max="3"/>
    <col width="16" customWidth="1" min="4" max="4"/>
    <col width="16" customWidth="1" min="5" max="5"/>
    <col width="16" customWidth="1" min="6" max="6"/>
    <col width="16" customWidth="1" min="7" max="7"/>
    <col width="16" customWidth="1" min="8" max="8"/>
    <col width="60" customWidth="1" min="10" max="10"/>
  </cols>
  <sheetData>
    <row r="2">
      <c r="B2" s="1" t="inlineStr">
        <is>
          <t>TENDERED PRICES AND PRICE SCORE</t>
        </is>
      </c>
    </row>
    <row r="3">
      <c r="B3" s="2" t="inlineStr">
        <is>
          <t>Prices exactly as returned, before any negotiation or arithmetic correction. Correct arithmetic separately and record it.</t>
        </is>
      </c>
    </row>
    <row r="5">
      <c r="C5" s="3" t="inlineStr">
        <is>
          <t>Tenderer</t>
        </is>
      </c>
      <c r="D5" s="16" t="inlineStr">
        <is>
          <t>Tenderer 1</t>
        </is>
      </c>
      <c r="E5" s="16" t="inlineStr">
        <is>
          <t>Tenderer 2</t>
        </is>
      </c>
      <c r="F5" s="16" t="inlineStr">
        <is>
          <t>Tenderer 3</t>
        </is>
      </c>
      <c r="G5" s="16" t="inlineStr">
        <is>
          <t>Tenderer 4</t>
        </is>
      </c>
      <c r="H5" s="16" t="inlineStr">
        <is>
          <t>Tenderer 5</t>
        </is>
      </c>
    </row>
    <row r="6">
      <c r="C6" s="5" t="inlineStr">
        <is>
          <t>Fixed price element</t>
        </is>
      </c>
      <c r="D6" s="17" t="n"/>
      <c r="E6" s="17" t="n"/>
      <c r="F6" s="17" t="n"/>
      <c r="G6" s="17" t="n"/>
      <c r="H6" s="17" t="n"/>
    </row>
    <row r="7">
      <c r="C7" s="5" t="inlineStr">
        <is>
          <t>Provisional sums</t>
        </is>
      </c>
      <c r="D7" s="17" t="n"/>
      <c r="E7" s="17" t="n"/>
      <c r="F7" s="17" t="n"/>
      <c r="G7" s="17" t="n"/>
      <c r="H7" s="17" t="n"/>
    </row>
    <row r="8">
      <c r="C8" s="5" t="inlineStr">
        <is>
          <t>Dayworks / remeasure allowance</t>
        </is>
      </c>
      <c r="D8" s="17" t="n"/>
      <c r="E8" s="17" t="n"/>
      <c r="F8" s="17" t="n"/>
      <c r="G8" s="17" t="n"/>
      <c r="H8" s="17" t="n"/>
    </row>
    <row r="9">
      <c r="C9" s="5" t="inlineStr">
        <is>
          <t>Design fee</t>
        </is>
      </c>
      <c r="D9" s="17" t="n"/>
      <c r="E9" s="17" t="n"/>
      <c r="F9" s="17" t="n"/>
      <c r="G9" s="17" t="n"/>
      <c r="H9" s="17" t="n"/>
    </row>
    <row r="10">
      <c r="C10" s="5" t="inlineStr">
        <is>
          <t>Qualifications priced separately</t>
        </is>
      </c>
      <c r="D10" s="17" t="n"/>
      <c r="E10" s="17" t="n"/>
      <c r="F10" s="17" t="n"/>
      <c r="G10" s="17" t="n"/>
      <c r="H10" s="17" t="n"/>
    </row>
    <row r="11">
      <c r="C11" s="3" t="inlineStr">
        <is>
          <t>TENDER TOTAL</t>
        </is>
      </c>
      <c r="D11" s="18">
        <f>SUM(D6:D10)</f>
        <v/>
      </c>
      <c r="E11" s="18">
        <f>SUM(E6:E10)</f>
        <v/>
      </c>
      <c r="F11" s="18">
        <f>SUM(F6:F10)</f>
        <v/>
      </c>
      <c r="G11" s="18">
        <f>SUM(G6:G10)</f>
        <v/>
      </c>
      <c r="H11" s="18">
        <f>SUM(H6:H10)</f>
        <v/>
      </c>
    </row>
    <row r="13">
      <c r="C13" s="5" t="inlineStr">
        <is>
          <t>Lowest compliant tender</t>
        </is>
      </c>
      <c r="D13" s="19">
        <f>MIN(D11:H11)</f>
        <v/>
      </c>
    </row>
    <row r="14">
      <c r="C14" s="5" t="inlineStr">
        <is>
          <t>Mean of all tenders</t>
        </is>
      </c>
      <c r="D14" s="19">
        <f>AVERAGE(D11:H11)</f>
        <v/>
      </c>
    </row>
    <row r="16">
      <c r="C16" s="3" t="inlineStr">
        <is>
          <t>PRICE SCORE (of 5)</t>
        </is>
      </c>
      <c r="D16" s="20">
        <f>IF(D11=0,0,5*$D$13/D11)</f>
        <v/>
      </c>
      <c r="E16" s="20">
        <f>IF(E11=0,0,5*$D$13/E11)</f>
        <v/>
      </c>
      <c r="F16" s="20">
        <f>IF(F11=0,0,5*$D$13/F11)</f>
        <v/>
      </c>
      <c r="G16" s="20">
        <f>IF(G11=0,0,5*$D$13/G11)</f>
        <v/>
      </c>
      <c r="H16" s="20">
        <f>IF(H11=0,0,5*$D$13/H11)</f>
        <v/>
      </c>
      <c r="J16" s="2" t="inlineStr">
        <is>
          <t>Lowest price scores 5; the others in proportion. Stated in the ITT so no tenderer is surprised.</t>
        </is>
      </c>
    </row>
    <row r="18" ht="40" customHeight="1">
      <c r="C18" s="3" t="inlineStr">
        <is>
          <t>Abnormally low check</t>
        </is>
      </c>
      <c r="D18" s="21">
        <f>IF(D11=0,"",IF(D11&lt;$D$14*0.75,"ASK","ok"))</f>
        <v/>
      </c>
      <c r="E18" s="21">
        <f>IF(E11=0,"",IF(E11&lt;$D$14*0.75,"ASK","ok"))</f>
        <v/>
      </c>
      <c r="F18" s="21">
        <f>IF(F11=0,"",IF(F11&lt;$D$14*0.75,"ASK","ok"))</f>
        <v/>
      </c>
      <c r="G18" s="21">
        <f>IF(G11=0,"",IF(G11&lt;$D$14*0.75,"ASK","ok"))</f>
        <v/>
      </c>
      <c r="H18" s="21">
        <f>IF(H11=0,"",IF(H11&lt;$D$14*0.75,"ASK","ok"))</f>
        <v/>
      </c>
      <c r="J18" s="14" t="inlineStr">
        <is>
          <t>Flagged at more than 25% below the mean. The duty is to ask the tenderer to explain, in writing, before excluding or accepting. A tender that is low because the tenderer is efficient is a good tender; one that is low because they have missed a scope is a claim waiting to happen.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J16"/>
  <sheetViews>
    <sheetView showGridLines="0" workbookViewId="0">
      <selection activeCell="A1" sqref="A1"/>
    </sheetView>
  </sheetViews>
  <sheetFormatPr baseColWidth="8" defaultRowHeight="15"/>
  <cols>
    <col width="4" customWidth="1" min="1" max="1"/>
    <col width="6" customWidth="1" min="2" max="2"/>
    <col width="42" customWidth="1" min="3" max="3"/>
    <col width="16" customWidth="1" min="4" max="4"/>
    <col width="16" customWidth="1" min="5" max="5"/>
    <col width="16" customWidth="1" min="6" max="6"/>
    <col width="16" customWidth="1" min="7" max="7"/>
    <col width="16" customWidth="1" min="8" max="8"/>
    <col width="46" customWidth="1" min="10" max="10"/>
  </cols>
  <sheetData>
    <row r="2">
      <c r="B2" s="1" t="inlineStr">
        <is>
          <t>QUALITY SCORES</t>
        </is>
      </c>
    </row>
    <row r="3">
      <c r="B3" s="2" t="inlineStr">
        <is>
          <t>0–5 against each criterion. Every score needs a written reason — if you cannot explain it to the tenderer who lost, it is not a score.</t>
        </is>
      </c>
    </row>
    <row r="5">
      <c r="C5" s="3" t="inlineStr">
        <is>
          <t>Tenderer</t>
        </is>
      </c>
      <c r="D5" s="22">
        <f>Prices!D5</f>
        <v/>
      </c>
      <c r="E5" s="22">
        <f>Prices!E5</f>
        <v/>
      </c>
      <c r="F5" s="22">
        <f>Prices!F5</f>
        <v/>
      </c>
      <c r="G5" s="22">
        <f>Prices!G5</f>
        <v/>
      </c>
      <c r="H5" s="22">
        <f>Prices!H5</f>
        <v/>
      </c>
      <c r="J5" s="23" t="inlineStr">
        <is>
          <t>Reason for the scores on this criterion</t>
        </is>
      </c>
    </row>
    <row r="6" ht="22" customHeight="1">
      <c r="B6" s="24">
        <f>Criteria!B6</f>
        <v/>
      </c>
      <c r="C6" s="24">
        <f>Criteria!C6</f>
        <v/>
      </c>
      <c r="D6" s="25" t="n"/>
      <c r="E6" s="25" t="n"/>
      <c r="F6" s="25" t="n"/>
      <c r="G6" s="25" t="n"/>
      <c r="H6" s="25" t="n"/>
      <c r="J6" s="26" t="n"/>
    </row>
    <row r="7" ht="22" customHeight="1">
      <c r="B7" s="24">
        <f>Criteria!B7</f>
        <v/>
      </c>
      <c r="C7" s="24">
        <f>Criteria!C7</f>
        <v/>
      </c>
      <c r="D7" s="25" t="n"/>
      <c r="E7" s="25" t="n"/>
      <c r="F7" s="25" t="n"/>
      <c r="G7" s="25" t="n"/>
      <c r="H7" s="25" t="n"/>
      <c r="J7" s="26" t="n"/>
    </row>
    <row r="8" ht="22" customHeight="1">
      <c r="B8" s="24">
        <f>Criteria!B8</f>
        <v/>
      </c>
      <c r="C8" s="24">
        <f>Criteria!C8</f>
        <v/>
      </c>
      <c r="D8" s="25" t="n"/>
      <c r="E8" s="25" t="n"/>
      <c r="F8" s="25" t="n"/>
      <c r="G8" s="25" t="n"/>
      <c r="H8" s="25" t="n"/>
      <c r="J8" s="26" t="n"/>
    </row>
    <row r="9" ht="22" customHeight="1">
      <c r="B9" s="24">
        <f>Criteria!B9</f>
        <v/>
      </c>
      <c r="C9" s="24">
        <f>Criteria!C9</f>
        <v/>
      </c>
      <c r="D9" s="25" t="n"/>
      <c r="E9" s="25" t="n"/>
      <c r="F9" s="25" t="n"/>
      <c r="G9" s="25" t="n"/>
      <c r="H9" s="25" t="n"/>
      <c r="J9" s="26" t="n"/>
    </row>
    <row r="10" ht="22" customHeight="1">
      <c r="B10" s="24">
        <f>Criteria!B10</f>
        <v/>
      </c>
      <c r="C10" s="24">
        <f>Criteria!C10</f>
        <v/>
      </c>
      <c r="D10" s="25" t="n"/>
      <c r="E10" s="25" t="n"/>
      <c r="F10" s="25" t="n"/>
      <c r="G10" s="25" t="n"/>
      <c r="H10" s="25" t="n"/>
      <c r="J10" s="26" t="n"/>
    </row>
    <row r="11" ht="22" customHeight="1">
      <c r="B11" s="24">
        <f>Criteria!B11</f>
        <v/>
      </c>
      <c r="C11" s="24">
        <f>Criteria!C11</f>
        <v/>
      </c>
      <c r="D11" s="25" t="n"/>
      <c r="E11" s="25" t="n"/>
      <c r="F11" s="25" t="n"/>
      <c r="G11" s="25" t="n"/>
      <c r="H11" s="25" t="n"/>
      <c r="J11" s="26" t="n"/>
    </row>
    <row r="12" ht="22" customHeight="1">
      <c r="B12" s="24">
        <f>Criteria!B12</f>
        <v/>
      </c>
      <c r="C12" s="24">
        <f>Criteria!C12</f>
        <v/>
      </c>
      <c r="D12" s="25" t="n"/>
      <c r="E12" s="25" t="n"/>
      <c r="F12" s="25" t="n"/>
      <c r="G12" s="25" t="n"/>
      <c r="H12" s="25" t="n"/>
      <c r="J12" s="26" t="n"/>
    </row>
    <row r="13" ht="22" customHeight="1">
      <c r="B13" s="24">
        <f>Criteria!B13</f>
        <v/>
      </c>
      <c r="C13" s="24">
        <f>Criteria!C13</f>
        <v/>
      </c>
      <c r="D13" s="25" t="n"/>
      <c r="E13" s="25" t="n"/>
      <c r="F13" s="25" t="n"/>
      <c r="G13" s="25" t="n"/>
      <c r="H13" s="25" t="n"/>
      <c r="J13" s="26" t="n"/>
    </row>
    <row r="15">
      <c r="C15" s="3" t="inlineStr">
        <is>
          <t>WEIGHTED QUALITY SCORE (of 5)</t>
        </is>
      </c>
      <c r="D15" s="20">
        <f>SUMPRODUCT(D6:D13,Criteria!$D$6:$D$13)</f>
        <v/>
      </c>
      <c r="E15" s="20">
        <f>SUMPRODUCT(E6:E13,Criteria!$D$6:$D$13)</f>
        <v/>
      </c>
      <c r="F15" s="20">
        <f>SUMPRODUCT(F6:F13,Criteria!$D$6:$D$13)</f>
        <v/>
      </c>
      <c r="G15" s="20">
        <f>SUMPRODUCT(G6:G13,Criteria!$D$6:$D$13)</f>
        <v/>
      </c>
      <c r="H15" s="20">
        <f>SUMPRODUCT(H6:H13,Criteria!$D$6:$D$13)</f>
        <v/>
      </c>
      <c r="J15" s="2" t="inlineStr">
        <is>
          <t>Weighted across the quality criteria, then rebased so it is out of 5 like the price score.</t>
        </is>
      </c>
    </row>
    <row r="16" ht="34" customHeight="1">
      <c r="C16" s="5" t="inlineStr">
        <is>
          <t>Any criterion scoring 0 or 1?</t>
        </is>
      </c>
      <c r="D16" s="21">
        <f>IF(COUNTIF(D6:D13,"&lt;=1")&gt;0,"REVIEW","ok")</f>
        <v/>
      </c>
      <c r="E16" s="21">
        <f>IF(COUNTIF(E6:E13,"&lt;=1")&gt;0,"REVIEW","ok")</f>
        <v/>
      </c>
      <c r="F16" s="21">
        <f>IF(COUNTIF(F6:F13,"&lt;=1")&gt;0,"REVIEW","ok")</f>
        <v/>
      </c>
      <c r="G16" s="21">
        <f>IF(COUNTIF(G6:G13,"&lt;=1")&gt;0,"REVIEW","ok")</f>
        <v/>
      </c>
      <c r="H16" s="21">
        <f>IF(COUNTIF(H6:H13,"&lt;=1")&gt;0,"REVIEW","ok")</f>
        <v/>
      </c>
      <c r="J16" s="14" t="inlineStr">
        <is>
          <t>A 0 or 1 on any criterion usually means non-compliance rather than a weak answer. Decide whether the tender is compliant at all before letting the weighted average carry 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J31"/>
  <sheetViews>
    <sheetView showGridLines="0" workbookViewId="0">
      <selection activeCell="A1" sqref="A1"/>
    </sheetView>
  </sheetViews>
  <sheetFormatPr baseColWidth="8" defaultRowHeight="15"/>
  <cols>
    <col width="4" customWidth="1" min="1" max="1"/>
    <col width="6" customWidth="1" min="2" max="2"/>
    <col width="42" customWidth="1" min="3" max="3"/>
    <col width="16" customWidth="1" min="4" max="4"/>
    <col width="16" customWidth="1" min="5" max="5"/>
    <col width="16" customWidth="1" min="6" max="6"/>
    <col width="16" customWidth="1" min="7" max="7"/>
    <col width="16" customWidth="1" min="8" max="8"/>
    <col width="54" customWidth="1" min="10" max="10"/>
  </cols>
  <sheetData>
    <row r="2">
      <c r="B2" s="1" t="inlineStr">
        <is>
          <t>RESULT</t>
        </is>
      </c>
    </row>
    <row r="3">
      <c r="B3" s="2" t="inlineStr">
        <is>
          <t>Quality and price combined on the published split. Then the question that decides whether this award survives being challenged.</t>
        </is>
      </c>
    </row>
    <row r="5">
      <c r="C5" s="3" t="inlineStr">
        <is>
          <t>Tenderer</t>
        </is>
      </c>
      <c r="D5" s="22">
        <f>Prices!D5</f>
        <v/>
      </c>
      <c r="E5" s="22">
        <f>Prices!E5</f>
        <v/>
      </c>
      <c r="F5" s="22">
        <f>Prices!F5</f>
        <v/>
      </c>
      <c r="G5" s="22">
        <f>Prices!G5</f>
        <v/>
      </c>
      <c r="H5" s="22">
        <f>Prices!H5</f>
        <v/>
      </c>
    </row>
    <row r="6">
      <c r="C6" s="5" t="inlineStr">
        <is>
          <t>Tender total</t>
        </is>
      </c>
      <c r="D6" s="27">
        <f>Prices!D11</f>
        <v/>
      </c>
      <c r="E6" s="27">
        <f>Prices!E11</f>
        <v/>
      </c>
      <c r="F6" s="27">
        <f>Prices!F11</f>
        <v/>
      </c>
      <c r="G6" s="27">
        <f>Prices!G11</f>
        <v/>
      </c>
      <c r="H6" s="27">
        <f>Prices!H11</f>
        <v/>
      </c>
    </row>
    <row r="7">
      <c r="C7" s="5" t="inlineStr">
        <is>
          <t>Quality score (of 5)</t>
        </is>
      </c>
      <c r="D7" s="28">
        <f>Scores!D15</f>
        <v/>
      </c>
      <c r="E7" s="28">
        <f>Scores!E15</f>
        <v/>
      </c>
      <c r="F7" s="28">
        <f>Scores!F15</f>
        <v/>
      </c>
      <c r="G7" s="28">
        <f>Scores!G15</f>
        <v/>
      </c>
      <c r="H7" s="28">
        <f>Scores!H15</f>
        <v/>
      </c>
    </row>
    <row r="8">
      <c r="C8" s="5" t="inlineStr">
        <is>
          <t>Price score (of 5)</t>
        </is>
      </c>
      <c r="D8" s="28">
        <f>Prices!D16</f>
        <v/>
      </c>
      <c r="E8" s="28">
        <f>Prices!E16</f>
        <v/>
      </c>
      <c r="F8" s="28">
        <f>Prices!F16</f>
        <v/>
      </c>
      <c r="G8" s="28">
        <f>Prices!G16</f>
        <v/>
      </c>
      <c r="H8" s="28">
        <f>Prices!H16</f>
        <v/>
      </c>
    </row>
    <row r="10">
      <c r="C10" s="3" t="inlineStr">
        <is>
          <t>COMBINED SCORE (of 5)</t>
        </is>
      </c>
      <c r="D10" s="29">
        <f>D7*Criteria!$D$15+D8*Criteria!$D$16</f>
        <v/>
      </c>
      <c r="E10" s="29">
        <f>E7*Criteria!$D$15+E8*Criteria!$D$16</f>
        <v/>
      </c>
      <c r="F10" s="29">
        <f>F7*Criteria!$D$15+F8*Criteria!$D$16</f>
        <v/>
      </c>
      <c r="G10" s="29">
        <f>G7*Criteria!$D$15+G8*Criteria!$D$16</f>
        <v/>
      </c>
      <c r="H10" s="29">
        <f>H7*Criteria!$D$15+H8*Criteria!$D$16</f>
        <v/>
      </c>
    </row>
    <row r="11">
      <c r="C11" s="3" t="inlineStr">
        <is>
          <t>Rank</t>
        </is>
      </c>
      <c r="D11" s="30">
        <f>IF(D6=0,"",RANK(D10,$D$10:$H$10,0))</f>
        <v/>
      </c>
      <c r="E11" s="30">
        <f>IF(E6=0,"",RANK(E10,$D$10:$H$10,0))</f>
        <v/>
      </c>
      <c r="F11" s="30">
        <f>IF(F6=0,"",RANK(F10,$D$10:$H$10,0))</f>
        <v/>
      </c>
      <c r="G11" s="30">
        <f>IF(G6=0,"",RANK(G10,$D$10:$H$10,0))</f>
        <v/>
      </c>
      <c r="H11" s="30">
        <f>IF(H6=0,"",RANK(H10,$D$10:$H$10,0))</f>
        <v/>
      </c>
    </row>
    <row r="13">
      <c r="C13" s="5" t="inlineStr">
        <is>
          <t>Winning tenderer</t>
        </is>
      </c>
      <c r="D13" s="3">
        <f>IFERROR(INDEX($D$5:$H$5,MATCH(1,$D$11:$H$11,0)),"—")</f>
        <v/>
      </c>
      <c r="J13" s="14" t="inlineStr"/>
    </row>
    <row r="14">
      <c r="C14" s="5" t="inlineStr">
        <is>
          <t>Winning combined score</t>
        </is>
      </c>
      <c r="D14" s="31">
        <f>MAX($D$10:$H$10)</f>
        <v/>
      </c>
      <c r="J14" s="14" t="inlineStr">
        <is>
          <t>The number the award is made on.</t>
        </is>
      </c>
    </row>
    <row r="15">
      <c r="C15" s="5" t="inlineStr">
        <is>
          <t>Second place score</t>
        </is>
      </c>
      <c r="D15" s="31">
        <f>LARGE($D$10:$H$10,2)</f>
        <v/>
      </c>
      <c r="J15" s="14" t="inlineStr"/>
    </row>
    <row r="16" ht="28" customHeight="1">
      <c r="C16" s="5" t="inlineStr">
        <is>
          <t>Margin, first over second</t>
        </is>
      </c>
      <c r="D16" s="31">
        <f>D14-D15</f>
        <v/>
      </c>
      <c r="J16" s="14" t="inlineStr">
        <is>
          <t>The whole question is whether this margin is bigger than the noise in the scoring.</t>
        </is>
      </c>
    </row>
    <row r="17" ht="28" customHeight="1">
      <c r="C17" s="5" t="inlineStr">
        <is>
          <t>Margin as % of the winning score</t>
        </is>
      </c>
      <c r="D17" s="32">
        <f>IFERROR(D16/D14,0)</f>
        <v/>
      </c>
      <c r="J17" s="14" t="inlineStr">
        <is>
          <t>Under about 3% the two tenders are, honestly, level. Say so and decide on something you can defend rather than on a decimal.</t>
        </is>
      </c>
    </row>
    <row r="19" ht="20" customHeight="1">
      <c r="A19" s="33" t="inlineStr">
        <is>
          <t xml:space="preserve">   SENSITIVITY — WOULD A DIFFERENT WEIGHTING HAVE CHANGED THE WINNER?</t>
        </is>
      </c>
    </row>
    <row r="20" ht="32" customHeight="1">
      <c r="C20" s="34" t="inlineStr">
        <is>
          <t>The weightings were published before tenders were opened and are not changed. This is not a re-run — it is a test of how much the result depends on a judgement made before anyone knew the prices. If the winner flips inside a reasonable band, the award is fragile, and it is far better to know that now than in a letter from the runner-up's solicitor.</t>
        </is>
      </c>
    </row>
    <row r="21">
      <c r="C21" s="3" t="inlineStr">
        <is>
          <t>Price weighting tested</t>
        </is>
      </c>
      <c r="D21" s="22">
        <f>Prices!D5</f>
        <v/>
      </c>
      <c r="E21" s="22">
        <f>Prices!E5</f>
        <v/>
      </c>
      <c r="F21" s="22">
        <f>Prices!F5</f>
        <v/>
      </c>
      <c r="G21" s="22">
        <f>Prices!G5</f>
        <v/>
      </c>
      <c r="H21" s="22">
        <f>Prices!H5</f>
        <v/>
      </c>
      <c r="J21" s="23" t="inlineStr">
        <is>
          <t>Winner at this weighting</t>
        </is>
      </c>
    </row>
    <row r="22">
      <c r="C22" s="35" t="n">
        <v>0.2</v>
      </c>
      <c r="D22" s="36">
        <f>D7*(1-$C22)+D8*$C22</f>
        <v/>
      </c>
      <c r="E22" s="36">
        <f>E7*(1-$C22)+E8*$C22</f>
        <v/>
      </c>
      <c r="F22" s="36">
        <f>F7*(1-$C22)+F8*$C22</f>
        <v/>
      </c>
      <c r="G22" s="36">
        <f>G7*(1-$C22)+G8*$C22</f>
        <v/>
      </c>
      <c r="H22" s="36">
        <f>H7*(1-$C22)+H8*$C22</f>
        <v/>
      </c>
      <c r="J22" s="3">
        <f>IFERROR(INDEX($D$21:$H$21,MATCH(MAX($D22:$H22),$D22:$H22,0)),"—")</f>
        <v/>
      </c>
    </row>
    <row r="23">
      <c r="C23" s="35" t="n">
        <v>0.3</v>
      </c>
      <c r="D23" s="36">
        <f>D7*(1-$C23)+D8*$C23</f>
        <v/>
      </c>
      <c r="E23" s="36">
        <f>E7*(1-$C23)+E8*$C23</f>
        <v/>
      </c>
      <c r="F23" s="36">
        <f>F7*(1-$C23)+F8*$C23</f>
        <v/>
      </c>
      <c r="G23" s="36">
        <f>G7*(1-$C23)+G8*$C23</f>
        <v/>
      </c>
      <c r="H23" s="36">
        <f>H7*(1-$C23)+H8*$C23</f>
        <v/>
      </c>
      <c r="J23" s="3">
        <f>IFERROR(INDEX($D$21:$H$21,MATCH(MAX($D23:$H23),$D23:$H23,0)),"—")</f>
        <v/>
      </c>
    </row>
    <row r="24">
      <c r="C24" s="35" t="n">
        <v>0.4</v>
      </c>
      <c r="D24" s="36">
        <f>D7*(1-$C24)+D8*$C24</f>
        <v/>
      </c>
      <c r="E24" s="36">
        <f>E7*(1-$C24)+E8*$C24</f>
        <v/>
      </c>
      <c r="F24" s="36">
        <f>F7*(1-$C24)+F8*$C24</f>
        <v/>
      </c>
      <c r="G24" s="36">
        <f>G7*(1-$C24)+G8*$C24</f>
        <v/>
      </c>
      <c r="H24" s="36">
        <f>H7*(1-$C24)+H8*$C24</f>
        <v/>
      </c>
      <c r="J24" s="3">
        <f>IFERROR(INDEX($D$21:$H$21,MATCH(MAX($D24:$H24),$D24:$H24,0)),"—")</f>
        <v/>
      </c>
    </row>
    <row r="25">
      <c r="C25" s="35" t="n">
        <v>0.5</v>
      </c>
      <c r="D25" s="36">
        <f>D7*(1-$C25)+D8*$C25</f>
        <v/>
      </c>
      <c r="E25" s="36">
        <f>E7*(1-$C25)+E8*$C25</f>
        <v/>
      </c>
      <c r="F25" s="36">
        <f>F7*(1-$C25)+F8*$C25</f>
        <v/>
      </c>
      <c r="G25" s="36">
        <f>G7*(1-$C25)+G8*$C25</f>
        <v/>
      </c>
      <c r="H25" s="36">
        <f>H7*(1-$C25)+H8*$C25</f>
        <v/>
      </c>
      <c r="J25" s="3">
        <f>IFERROR(INDEX($D$21:$H$21,MATCH(MAX($D25:$H25),$D25:$H25,0)),"—")</f>
        <v/>
      </c>
    </row>
    <row r="26">
      <c r="C26" s="35" t="n">
        <v>0.6</v>
      </c>
      <c r="D26" s="36">
        <f>D7*(1-$C26)+D8*$C26</f>
        <v/>
      </c>
      <c r="E26" s="36">
        <f>E7*(1-$C26)+E8*$C26</f>
        <v/>
      </c>
      <c r="F26" s="36">
        <f>F7*(1-$C26)+F8*$C26</f>
        <v/>
      </c>
      <c r="G26" s="36">
        <f>G7*(1-$C26)+G8*$C26</f>
        <v/>
      </c>
      <c r="H26" s="36">
        <f>H7*(1-$C26)+H8*$C26</f>
        <v/>
      </c>
      <c r="J26" s="3">
        <f>IFERROR(INDEX($D$21:$H$21,MATCH(MAX($D26:$H26),$D26:$H26,0)),"—")</f>
        <v/>
      </c>
    </row>
    <row r="27">
      <c r="C27" s="35" t="n">
        <v>0.7</v>
      </c>
      <c r="D27" s="36">
        <f>D7*(1-$C27)+D8*$C27</f>
        <v/>
      </c>
      <c r="E27" s="36">
        <f>E7*(1-$C27)+E8*$C27</f>
        <v/>
      </c>
      <c r="F27" s="36">
        <f>F7*(1-$C27)+F8*$C27</f>
        <v/>
      </c>
      <c r="G27" s="36">
        <f>G7*(1-$C27)+G8*$C27</f>
        <v/>
      </c>
      <c r="H27" s="36">
        <f>H7*(1-$C27)+H8*$C27</f>
        <v/>
      </c>
      <c r="J27" s="3">
        <f>IFERROR(INDEX($D$21:$H$21,MATCH(MAX($D27:$H27),$D27:$H27,0)),"—")</f>
        <v/>
      </c>
    </row>
    <row r="29">
      <c r="C29" s="3" t="inlineStr">
        <is>
          <t>Winner stable across the band?</t>
        </is>
      </c>
      <c r="D29" s="37">
        <f>IF(COUNTIF(J22:J27,J22)=6,"STABLE — the same tenderer wins from 20% to 70% price weighting","FRAGILE — the winner changes with the weighting")</f>
        <v/>
      </c>
    </row>
    <row r="31" ht="44" customHeight="1">
      <c r="C31" s="38" t="inlineStr">
        <is>
          <t>A FRAGILE result is not a reason to change the weighting. It is a reason to look harder at the quality scores, moderate them properly, and be certain the reasons written against each one would stand up if read aloud. If the result is still fragile after that, the two tenders really are equivalent — and the honest answer is to say so and decide on a stated tie-break, not to pretend a decimal place settled it.</t>
        </is>
      </c>
    </row>
  </sheetData>
  <mergeCells count="4">
    <mergeCell ref="C20:J20"/>
    <mergeCell ref="C31:J31"/>
    <mergeCell ref="A19:H19"/>
    <mergeCell ref="D29:J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2026-09-07T21:10:31Z</dcterms:created>
  <dcterms:modified xmlns:dcterms="http://purl.org/dc/terms/" xmlns:xsi="http://www.w3.org/2001/XMLSchema-instance" xsi:type="dcterms:W3CDTF">2026-09-07T21:12:44Z</dcterms:modified>
</cp:coreProperties>
</file>