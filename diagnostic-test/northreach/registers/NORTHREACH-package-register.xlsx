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W packages" state="visible" r:id="rId4"/>
    <sheet sheetId="2" name="Workforce" state="visible" r:id="rId5"/>
    <sheet sheetId="3" name="Empty tab" state="visible" r:id="rId6"/>
  </sheets>
  <calcPr calcId="171027"/>
</workbook>
</file>

<file path=xl/sharedStrings.xml><?xml version="1.0" encoding="utf-8"?>
<sst xmlns="http://schemas.openxmlformats.org/spreadsheetml/2006/main" count="125" uniqueCount="78">
  <si>
    <t>Ref</t>
  </si>
  <si>
    <t>Package</t>
  </si>
  <si>
    <t>Status</t>
  </si>
  <si>
    <t>Buyer</t>
  </si>
  <si>
    <t>Enquiry issued</t>
  </si>
  <si>
    <t>Value £</t>
  </si>
  <si>
    <t>Notes</t>
  </si>
  <si>
    <t>TW01</t>
  </si>
  <si>
    <t>Enabling civils, compounds and hardstanding</t>
  </si>
  <si>
    <t>Tendering</t>
  </si>
  <si>
    <t>Northern region</t>
  </si>
  <si>
    <t>Priced from tender layout rev A</t>
  </si>
  <si>
    <t>TW02</t>
  </si>
  <si>
    <t>Cabin hire — offices</t>
  </si>
  <si>
    <t>Against Cabin Schedule rev A</t>
  </si>
  <si>
    <t>TW03</t>
  </si>
  <si>
    <t>Cabin hire — welfare</t>
  </si>
  <si>
    <t>Within TW02</t>
  </si>
  <si>
    <t>See TW02</t>
  </si>
  <si>
    <t>TW04</t>
  </si>
  <si>
    <t>Temporary power generation</t>
  </si>
  <si>
    <t>Central plant desk</t>
  </si>
  <si>
    <t>Sized from services doc rev A, 19 Feb</t>
  </si>
  <si>
    <t>TW05</t>
  </si>
  <si>
    <t>Temporary water and bowser supply</t>
  </si>
  <si>
    <t>Not started</t>
  </si>
  <si>
    <t/>
  </si>
  <si>
    <t>TW06</t>
  </si>
  <si>
    <t>Foul, package plant and tankering</t>
  </si>
  <si>
    <t>TW07</t>
  </si>
  <si>
    <t>Security — guarding, CCTV, access</t>
  </si>
  <si>
    <t>TW08</t>
  </si>
  <si>
    <t>Site accommodation (beds, off site)</t>
  </si>
  <si>
    <t>Site team to arrange locally</t>
  </si>
  <si>
    <t>TW09</t>
  </si>
  <si>
    <t>Personnel transport / minibuses</t>
  </si>
  <si>
    <t>Not identified</t>
  </si>
  <si>
    <t>TW10</t>
  </si>
  <si>
    <t>Catering and canteen operation</t>
  </si>
  <si>
    <t>TW11</t>
  </si>
  <si>
    <t>Cleaning</t>
  </si>
  <si>
    <t>TW12</t>
  </si>
  <si>
    <t>Waste management</t>
  </si>
  <si>
    <t>TW13</t>
  </si>
  <si>
    <t>Site comms and IT</t>
  </si>
  <si>
    <t>Within PW03</t>
  </si>
  <si>
    <t>Marrowbridge central</t>
  </si>
  <si>
    <t>TW14</t>
  </si>
  <si>
    <t>Temporary heating and dehumidification</t>
  </si>
  <si>
    <t>TW15</t>
  </si>
  <si>
    <t>Fuel storage, dispensing and management</t>
  </si>
  <si>
    <t>TW16</t>
  </si>
  <si>
    <t>Wheel wash, dust suppression, road cleaning</t>
  </si>
  <si>
    <t>TW17</t>
  </si>
  <si>
    <t>Traffic management (compound gates)</t>
  </si>
  <si>
    <t>TW18</t>
  </si>
  <si>
    <t>Reinstatement and demobilisation</t>
  </si>
  <si>
    <t>Assumed within TW01</t>
  </si>
  <si>
    <t>No separate allowance</t>
  </si>
  <si>
    <t>TOTAL COMMITTED</t>
  </si>
  <si>
    <t>TOTAL IF ALL LET</t>
  </si>
  <si>
    <t>not recalculated since Aug</t>
  </si>
  <si>
    <t>Quarter</t>
  </si>
  <si>
    <t>Civils</t>
  </si>
  <si>
    <t>M&amp;E</t>
  </si>
  <si>
    <t>Cable</t>
  </si>
  <si>
    <t>Converter hall</t>
  </si>
  <si>
    <t>Staff</t>
  </si>
  <si>
    <t>Total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</si>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</sst>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5" max="5" width="9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46175</v>
      </c>
      <c r="F2">
        <v>2850000</v>
      </c>
      <c r="G2" t="s">
        <v>11</v>
      </c>
    </row>
    <row r="3" spans="1:7" x14ac:dyDescent="0.25">
      <c r="A3" t="s">
        <v>12</v>
      </c>
      <c r="B3" t="s">
        <v>13</v>
      </c>
      <c r="C3" t="s">
        <v>4</v>
      </c>
      <c r="D3" t="s">
        <v>10</v>
      </c>
      <c r="E3" s="1">
        <v>46185</v>
      </c>
      <c r="F3">
        <v>940000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 t="s">
        <v>10</v>
      </c>
      <c r="E4" s="1">
        <v>46185</v>
      </c>
      <c r="G4" t="s">
        <v>18</v>
      </c>
    </row>
    <row r="5" spans="1:7" x14ac:dyDescent="0.25">
      <c r="A5" t="s">
        <v>19</v>
      </c>
      <c r="B5" t="s">
        <v>20</v>
      </c>
      <c r="C5" t="s">
        <v>4</v>
      </c>
      <c r="D5" t="s">
        <v>21</v>
      </c>
      <c r="E5" s="1">
        <v>46206</v>
      </c>
      <c r="F5">
        <v>3100000</v>
      </c>
      <c r="G5" t="s">
        <v>22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s="1"/>
      <c r="G6" t="s">
        <v>26</v>
      </c>
    </row>
    <row r="7" spans="1:7" x14ac:dyDescent="0.25">
      <c r="A7" t="s">
        <v>27</v>
      </c>
      <c r="B7" t="s">
        <v>28</v>
      </c>
      <c r="C7" t="s">
        <v>25</v>
      </c>
      <c r="D7" t="s">
        <v>26</v>
      </c>
      <c r="E7" s="1"/>
      <c r="G7" t="s">
        <v>26</v>
      </c>
    </row>
    <row r="8" spans="1:7" x14ac:dyDescent="0.25">
      <c r="A8" t="s">
        <v>29</v>
      </c>
      <c r="B8" t="s">
        <v>30</v>
      </c>
      <c r="C8" t="s">
        <v>25</v>
      </c>
      <c r="D8" t="s">
        <v>26</v>
      </c>
      <c r="E8" s="1"/>
      <c r="G8" t="s">
        <v>26</v>
      </c>
    </row>
    <row r="9" spans="1:7" x14ac:dyDescent="0.25">
      <c r="A9" t="s">
        <v>31</v>
      </c>
      <c r="B9" t="s">
        <v>32</v>
      </c>
      <c r="C9" t="s">
        <v>25</v>
      </c>
      <c r="D9" t="s">
        <v>26</v>
      </c>
      <c r="E9" s="1"/>
      <c r="G9" t="s">
        <v>33</v>
      </c>
    </row>
    <row r="10" spans="1:7" x14ac:dyDescent="0.25">
      <c r="A10" t="s">
        <v>34</v>
      </c>
      <c r="B10" t="s">
        <v>35</v>
      </c>
      <c r="C10" t="s">
        <v>36</v>
      </c>
      <c r="D10" t="s">
        <v>26</v>
      </c>
      <c r="E10" s="1"/>
      <c r="G10" t="s">
        <v>26</v>
      </c>
    </row>
    <row r="11" spans="1:7" x14ac:dyDescent="0.25">
      <c r="A11" t="s">
        <v>37</v>
      </c>
      <c r="B11" t="s">
        <v>38</v>
      </c>
      <c r="C11" t="s">
        <v>25</v>
      </c>
      <c r="D11" t="s">
        <v>26</v>
      </c>
      <c r="E11" s="1"/>
      <c r="G11" t="s">
        <v>26</v>
      </c>
    </row>
    <row r="12" spans="1:7" x14ac:dyDescent="0.25">
      <c r="A12" t="s">
        <v>39</v>
      </c>
      <c r="B12" t="s">
        <v>40</v>
      </c>
      <c r="C12" t="s">
        <v>25</v>
      </c>
      <c r="D12" t="s">
        <v>26</v>
      </c>
      <c r="E12" s="1"/>
      <c r="G12" t="s">
        <v>26</v>
      </c>
    </row>
    <row r="13" spans="1:7" x14ac:dyDescent="0.25">
      <c r="A13" t="s">
        <v>41</v>
      </c>
      <c r="B13" t="s">
        <v>42</v>
      </c>
      <c r="C13" t="s">
        <v>25</v>
      </c>
      <c r="D13" t="s">
        <v>26</v>
      </c>
      <c r="E13" s="1"/>
      <c r="G13" t="s">
        <v>26</v>
      </c>
    </row>
    <row r="14" spans="1:7" x14ac:dyDescent="0.25">
      <c r="A14" t="s">
        <v>43</v>
      </c>
      <c r="B14" t="s">
        <v>44</v>
      </c>
      <c r="C14" t="s">
        <v>45</v>
      </c>
      <c r="D14" t="s">
        <v>46</v>
      </c>
      <c r="E14" s="1"/>
      <c r="G14" t="s">
        <v>26</v>
      </c>
    </row>
    <row r="15" spans="1:7" x14ac:dyDescent="0.25">
      <c r="A15" t="s">
        <v>47</v>
      </c>
      <c r="B15" t="s">
        <v>48</v>
      </c>
      <c r="C15" t="s">
        <v>36</v>
      </c>
      <c r="D15" t="s">
        <v>26</v>
      </c>
      <c r="E15" s="1"/>
      <c r="G15" t="s">
        <v>26</v>
      </c>
    </row>
    <row r="16" spans="1:7" x14ac:dyDescent="0.25">
      <c r="A16" t="s">
        <v>49</v>
      </c>
      <c r="B16" t="s">
        <v>50</v>
      </c>
      <c r="C16" t="s">
        <v>36</v>
      </c>
      <c r="D16" t="s">
        <v>26</v>
      </c>
      <c r="E16" s="1"/>
      <c r="G16" t="s">
        <v>26</v>
      </c>
    </row>
    <row r="17" spans="1:7" x14ac:dyDescent="0.25">
      <c r="A17" t="s">
        <v>51</v>
      </c>
      <c r="B17" t="s">
        <v>52</v>
      </c>
      <c r="C17" t="s">
        <v>36</v>
      </c>
      <c r="D17" t="s">
        <v>26</v>
      </c>
      <c r="E17" s="1"/>
      <c r="G17" t="s">
        <v>26</v>
      </c>
    </row>
    <row r="18" spans="1:7" x14ac:dyDescent="0.25">
      <c r="A18" t="s">
        <v>53</v>
      </c>
      <c r="B18" t="s">
        <v>54</v>
      </c>
      <c r="C18" t="s">
        <v>25</v>
      </c>
      <c r="D18" t="s">
        <v>26</v>
      </c>
      <c r="E18" s="1"/>
      <c r="G18" t="s">
        <v>26</v>
      </c>
    </row>
    <row r="19" spans="1:7" x14ac:dyDescent="0.25">
      <c r="A19" t="s">
        <v>55</v>
      </c>
      <c r="B19" t="s">
        <v>56</v>
      </c>
      <c r="C19" t="s">
        <v>57</v>
      </c>
      <c r="D19" t="s">
        <v>10</v>
      </c>
      <c r="E19" s="1"/>
      <c r="G19" t="s">
        <v>58</v>
      </c>
    </row>
    <row r="20" spans="1:7" x14ac:dyDescent="0.25">
      <c r="A20" t="s">
        <v>26</v>
      </c>
      <c r="B20" t="s">
        <v>59</v>
      </c>
      <c r="C20" t="s">
        <v>26</v>
      </c>
      <c r="D20" t="s">
        <v>26</v>
      </c>
      <c r="E20" s="1" t="s">
        <v>26</v>
      </c>
      <c r="F20">
        <f>SUM(F2:F19)</f>
        <v>6890000</v>
      </c>
      <c r="G20" t="s">
        <v>26</v>
      </c>
    </row>
    <row r="21" spans="1:7" x14ac:dyDescent="0.25">
      <c r="A21" t="s">
        <v>26</v>
      </c>
      <c r="B21" t="s">
        <v>60</v>
      </c>
      <c r="C21" t="s">
        <v>26</v>
      </c>
      <c r="D21" t="s">
        <v>26</v>
      </c>
      <c r="E21" s="1" t="s">
        <v>26</v>
      </c>
      <c r="F21">
        <f>SUM(F2:F19)*2.4</f>
      </c>
      <c r="G2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 x14ac:dyDescent="0.25">
      <c r="A2" t="s">
        <v>69</v>
      </c>
      <c r="B2">
        <v>46</v>
      </c>
      <c r="C2">
        <v>0</v>
      </c>
      <c r="D2">
        <v>0</v>
      </c>
      <c r="E2">
        <v>0</v>
      </c>
      <c r="F2">
        <v>14</v>
      </c>
      <c r="G2">
        <f>SUM(B2:F2)</f>
        <v>60</v>
      </c>
    </row>
    <row r="3" spans="1:7" x14ac:dyDescent="0.25">
      <c r="A3" t="s">
        <v>70</v>
      </c>
      <c r="B3">
        <v>88</v>
      </c>
      <c r="C3">
        <v>0</v>
      </c>
      <c r="D3">
        <v>6</v>
      </c>
      <c r="E3">
        <v>0</v>
      </c>
      <c r="F3">
        <v>19</v>
      </c>
      <c r="G3">
        <f>SUM(B3:F3)</f>
        <v>113</v>
      </c>
    </row>
    <row r="4" spans="1:7" x14ac:dyDescent="0.25">
      <c r="A4" t="s">
        <v>71</v>
      </c>
      <c r="B4">
        <v>104</v>
      </c>
      <c r="C4">
        <v>0</v>
      </c>
      <c r="D4">
        <v>12</v>
      </c>
      <c r="E4">
        <v>0</v>
      </c>
      <c r="F4">
        <v>22</v>
      </c>
      <c r="G4">
        <f>SUM(B4:F4)</f>
        <v>138</v>
      </c>
    </row>
    <row r="5" spans="1:7" x14ac:dyDescent="0.25">
      <c r="A5" t="s">
        <v>72</v>
      </c>
      <c r="B5">
        <v>96</v>
      </c>
      <c r="C5">
        <v>8</v>
      </c>
      <c r="D5">
        <v>44</v>
      </c>
      <c r="E5">
        <v>12</v>
      </c>
      <c r="F5">
        <v>26</v>
      </c>
      <c r="G5">
        <f>SUM(B5:F5)</f>
        <v>186</v>
      </c>
    </row>
    <row r="6" spans="1:7" x14ac:dyDescent="0.25">
      <c r="A6" t="s">
        <v>73</v>
      </c>
      <c r="B6">
        <v>72</v>
      </c>
      <c r="C6">
        <v>22</v>
      </c>
      <c r="D6">
        <v>61</v>
      </c>
      <c r="E6">
        <v>58</v>
      </c>
      <c r="F6">
        <v>31</v>
      </c>
      <c r="G6">
        <f>SUM(B6:F6)</f>
        <v>244</v>
      </c>
    </row>
    <row r="7" spans="1:7" x14ac:dyDescent="0.25">
      <c r="A7" t="s">
        <v>74</v>
      </c>
      <c r="B7">
        <v>58</v>
      </c>
      <c r="C7">
        <v>40</v>
      </c>
      <c r="D7">
        <v>74</v>
      </c>
      <c r="E7">
        <v>132</v>
      </c>
      <c r="F7">
        <v>36</v>
      </c>
      <c r="G7">
        <f>SUM(B7:F7)</f>
        <v>340</v>
      </c>
    </row>
    <row r="8" spans="1:7" x14ac:dyDescent="0.25">
      <c r="A8" t="s">
        <v>75</v>
      </c>
      <c r="B8">
        <v>44</v>
      </c>
      <c r="C8">
        <v>61</v>
      </c>
      <c r="D8">
        <v>70</v>
      </c>
      <c r="E8">
        <v>126</v>
      </c>
      <c r="F8">
        <v>36</v>
      </c>
      <c r="G8">
        <f>SUM(B8:F8)</f>
        <v>337</v>
      </c>
    </row>
    <row r="9" spans="1:7" x14ac:dyDescent="0.25">
      <c r="A9" t="s">
        <v>76</v>
      </c>
      <c r="B9">
        <v>30</v>
      </c>
      <c r="C9">
        <v>74</v>
      </c>
      <c r="D9">
        <v>58</v>
      </c>
      <c r="E9">
        <v>98</v>
      </c>
      <c r="F9">
        <v>33</v>
      </c>
      <c r="G9">
        <f>SUM(B9:F9)</f>
        <v>293</v>
      </c>
    </row>
    <row r="10" spans="1:7" x14ac:dyDescent="0.25">
      <c r="A10" t="s">
        <v>77</v>
      </c>
      <c r="B10">
        <v>22</v>
      </c>
      <c r="C10">
        <v>66</v>
      </c>
      <c r="D10">
        <v>24</v>
      </c>
      <c r="E10">
        <v>71</v>
      </c>
      <c r="F10">
        <v>28</v>
      </c>
      <c r="G10">
        <f>SUM(B10:F10)</f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 packages</vt:lpstr>
      <vt:lpstr>Workforce</vt:lpstr>
      <vt:lpstr>Empty tab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Marrowbridge Infrastructure Ltd</dc:creator>
  <dc:title/>
  <dc:subject/>
  <dc:description/>
  <cp:keywords/>
  <cp:category/>
  <cp:lastModifiedBy>Unknown</cp:lastModifiedBy>
  <dcterms:created xsi:type="dcterms:W3CDTF">2026-09-07T18:56:08Z</dcterms:created>
  <dcterms:modified xsi:type="dcterms:W3CDTF">2026-09-07T18:56:08Z</dcterms:modified>
</cp:coreProperties>
</file>